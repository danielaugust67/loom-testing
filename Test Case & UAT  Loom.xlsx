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Cases - update 1" sheetId="2" r:id="rId6"/>
    <sheet state="visible" name="UAT" sheetId="3" r:id="rId7"/>
  </sheets>
  <definedNames/>
  <calcPr/>
</workbook>
</file>

<file path=xl/sharedStrings.xml><?xml version="1.0" encoding="utf-8"?>
<sst xmlns="http://schemas.openxmlformats.org/spreadsheetml/2006/main" count="1651" uniqueCount="371">
  <si>
    <t>Test Scenario ID</t>
  </si>
  <si>
    <t>Test Scenario Desc</t>
  </si>
  <si>
    <t>Test Case ID</t>
  </si>
  <si>
    <t>Test Case Description</t>
  </si>
  <si>
    <t>Testing Type</t>
  </si>
  <si>
    <t>Test Steps</t>
  </si>
  <si>
    <t>Preconditions</t>
  </si>
  <si>
    <t>Test Data</t>
  </si>
  <si>
    <t>Expected Result</t>
  </si>
  <si>
    <t>Status</t>
  </si>
  <si>
    <t>Actual Result</t>
  </si>
  <si>
    <t>Tester</t>
  </si>
  <si>
    <t>Execution Date</t>
  </si>
  <si>
    <t>Type of Testing</t>
  </si>
  <si>
    <t>Notes</t>
  </si>
  <si>
    <t>Phase</t>
  </si>
  <si>
    <t>TS-01</t>
  </si>
  <si>
    <t>Authentication</t>
  </si>
  <si>
    <t>TC-001</t>
  </si>
  <si>
    <t>Register akun baru dengan data valid</t>
  </si>
  <si>
    <t>Functional</t>
  </si>
  <si>
    <t>1. Buka halaman /register
2. Isi Username (min 3 karakter)
3. Isi Email valid
4. Isi Password (min 8 karakter)
5. Isi Konfirmasi Password sama
6. Klik tombol "Sign up"</t>
  </si>
  <si>
    <t>Belum login, belum ada akun dengan email tersebut</t>
  </si>
  <si>
    <t>• Username: dgirsang810
• Email: dgirsang810@gmail.com
• Password: daniel123</t>
  </si>
  <si>
    <t>Muncul pesan "Cek Email Anda" dan tampil instruksi verifikasi email</t>
  </si>
  <si>
    <t>Pass</t>
  </si>
  <si>
    <t>expected</t>
  </si>
  <si>
    <t>QA</t>
  </si>
  <si>
    <t>Manual</t>
  </si>
  <si>
    <t>Sprint 1</t>
  </si>
  <si>
    <t>TC-002</t>
  </si>
  <si>
    <t>Register dengan username kurang dari 3 karakter</t>
  </si>
  <si>
    <t>1. Buka /register
2. Isi Username: "ab" (2 karakter)
3. Isi field lainnya valid
4. Klik "Sign up"</t>
  </si>
  <si>
    <t>Belum login</t>
  </si>
  <si>
    <t>• Username: ab</t>
  </si>
  <si>
    <t>Muncul pesan error inline "Username minimal 3 karakter" di bawah field Username</t>
  </si>
  <si>
    <t>Validasi baru ditampilkan setelah tombol Sign Up ditekan. Tidak ada validasi saat pengguna berpindah ke field berikutnya.</t>
  </si>
  <si>
    <t>TC-003</t>
  </si>
  <si>
    <t>Register dengan email sudah terdaftar</t>
  </si>
  <si>
    <t>1. Buka /register
2. Isi email yang sudah ada di sistem
3. Isi field lain valid
4. Klik "Sign up"</t>
  </si>
  <si>
    <t>Belum login, email sudah terdaftar di sistem</t>
  </si>
  <si>
    <t>• Email: dgirsang810@gmail.com</t>
  </si>
  <si>
    <t>Muncul pesan error di bagian atas form (kotak merah) bahwa email sudah digunakan</t>
  </si>
  <si>
    <t>TC-004</t>
  </si>
  <si>
    <t>Register password tidak cocok dengan konfirmasi</t>
  </si>
  <si>
    <t>1. Buka /register
2. Isi Password: "Test@1234"
3. Isi Konfirmasi Password: "Test@5678"
4. Klik "Sign up"</t>
  </si>
  <si>
    <t>• Password: Test@1234
• Konfirmasi: Test@5678</t>
  </si>
  <si>
    <t>Muncul pesan error "Password tidak cocok" di bawah field Konfirmasi Password</t>
  </si>
  <si>
    <t>TC-005</t>
  </si>
  <si>
    <t>Login dengan email &amp; password yang benar</t>
  </si>
  <si>
    <t>1. Buka /login
2. Isi Email dengan akun terverifikasi
3. Isi Password yang benar
4. Klik "Log in"</t>
  </si>
  <si>
    <t>Memiliki akun yang sudah terverifikasi email</t>
  </si>
  <si>
    <t>• Email: dgirsang810@gmail.com
• Password: daniel123</t>
  </si>
  <si>
    <t>Berhasil login, diarahkan ke halaman sebelumnya atau Beranda. Nama user muncul di navbar.</t>
  </si>
  <si>
    <t>Fail</t>
  </si>
  <si>
    <t>Pengguna berhasil diarahkan ke Beranda, tetapi nama user tidak tampil di navbar. Hanya menu Profile yang ditampilkan.</t>
  </si>
  <si>
    <t>Nama pengguna perlu ditampilkan pada navbar sesuai acceptance criteria.</t>
  </si>
  <si>
    <t>TC-006</t>
  </si>
  <si>
    <t>Login dengan password salah</t>
  </si>
  <si>
    <t>1. Buka /login
2. Isi Email yang ada di sistem
3. Isi Password yang SALAH
4. Klik "Log in"</t>
  </si>
  <si>
    <t>Memiliki akun</t>
  </si>
  <si>
    <t>• Email: dgirsang810@gmail.com
• Password: SalahPassword</t>
  </si>
  <si>
    <t>Muncul pesan error di kotak merah atas form (misal: "email or password is incorrect")</t>
  </si>
  <si>
    <t>State form login tidak dipertahankan saat login gagal, sehingga pengguna harus memasukkan kembali email dan password.</t>
  </si>
  <si>
    <t>TC-007</t>
  </si>
  <si>
    <t>Login dengan email yang tidak terdaftar</t>
  </si>
  <si>
    <t>1. Buka /login
2. Isi Email yang belum terdaftar
3. Isi Password apapun
4. Klik "Log in"</t>
  </si>
  <si>
    <t>• Email: notexist@mail.com
• Password: Test@1234</t>
  </si>
  <si>
    <t>Muncul pesan error (401 Unauthorized) di form login</t>
  </si>
  <si>
    <t>TC-008</t>
  </si>
  <si>
    <t>Logout dari akun</t>
  </si>
  <si>
    <t>1. Pastikan sudah login
2. Buka halaman /settings/profile
3. Scroll ke bawah ke bagian "Sesi Akun"
4. Klik tombol "Keluar"
5. Konfirmasi pada dialog popup</t>
  </si>
  <si>
    <t>Sudah login</t>
  </si>
  <si>
    <t>-</t>
  </si>
  <si>
    <t>Sesi berakhir, diarahkan ke halaman "/" (Beranda). Tombol login/daftar muncul kembali di navbar.</t>
  </si>
  <si>
    <t>Pengguna diarahkan ke halaman login bukan ke halaman beranda, Tombol Login/Daftar ditampilkan.</t>
  </si>
  <si>
    <t>TC-009</t>
  </si>
  <si>
    <t>Akses halaman terproteksi tanpa login</t>
  </si>
  <si>
    <t>1. Pastikan tidak sedang login (atau buka incognito)
2. Coba akses URL: /thread/slug
3. Coba akses URL: /notifications
4. Coba akses URL: /settings/bookmarks</t>
  </si>
  <si>
    <t>Tidak sedang login</t>
  </si>
  <si>
    <t>Setiap URL terproteksi diarahkan otomatis ke halaman /login</t>
  </si>
  <si>
    <t>Halaman Notifications dan Bookmarks tidak dapat diakses tanpa login dan diarahkan ke halaman Login. Namun, halaman /thread/slug masih dapat diakses tanpa login.</t>
  </si>
  <si>
    <t>TS-02</t>
  </si>
  <si>
    <t>Thread Management</t>
  </si>
  <si>
    <t>TC-010</t>
  </si>
  <si>
    <t>Melihat daftar thread di Beranda</t>
  </si>
  <si>
    <t>1. Buka URL: / 
2. Amati halaman</t>
  </si>
  <si>
    <t>Backend berjalan, ada data thread di database</t>
  </si>
  <si>
    <t>Daftar thread tampil, masing-masing menampilkan: judul, nama user, kategori, tanggal, jumlah komentar, upvote, dan ikon bookmark</t>
  </si>
  <si>
    <t>TC-011</t>
  </si>
  <si>
    <t>Membuat thread baru dengan data valid</t>
  </si>
  <si>
    <t>1. Login sebagai user biasa
2. Klik tombol "+ Thread Baru" di navbar
3. Isi Judul (min 5 karakter)
4. Pilih Kategori dari dropdown
5. Isi Isi Diskusi (min 10 karakter)
6. Isi Tag (opsional)
7. Klik "Posting Diskusi"</t>
  </si>
  <si>
    <t>Sudah login sebagai user</t>
  </si>
  <si>
    <t>• Judul: "Test Upload Fitur Thread"
• Kategori: general disscusion
• Konten: "Pengujian fitur upload pada Thread dilakukan untuk memastikan ......"</t>
  </si>
  <si>
    <t>Thread berhasil dibuat, diarahkan ke halaman detail thread yang baru. Thread muncul di Beranda.</t>
  </si>
  <si>
    <t>Halaman Beranda tidak melakukan auto-refresh/re-fetch data setelah data baru ditambahkan.</t>
  </si>
  <si>
    <t>TC-012</t>
  </si>
  <si>
    <t>Membuat thread dengan judul kurang dari 5 karakter</t>
  </si>
  <si>
    <t>1. Login
2. Klik "+ Thread Baru"
3. Isi Judul: "Hi"
4. Pilih Kategori
5. Isi Konten valid
6. Klik "Posting Diskusi"</t>
  </si>
  <si>
    <t>• Judul: "Hi"</t>
  </si>
  <si>
    <t>Muncul pesan error inline "Judul minimal 5 karakter" di bawah field Judul. Thread tidak ter-submit.</t>
  </si>
  <si>
    <t>TC-013</t>
  </si>
  <si>
    <t>Membuat thread tanpa memilih kategori</t>
  </si>
  <si>
    <t>1. Login
2. Klik "+ Thread Baru"
3. Isi Judul dan Konten valid
4. Biarkan Kategori pada pilihan default ("Pilih Kategori")
5. Klik "Posting Diskusi"</t>
  </si>
  <si>
    <t>Muncul pesan error "Kategori wajib dipilih". Thread tidak ter-submit.</t>
  </si>
  <si>
    <t>TC-014</t>
  </si>
  <si>
    <t>Melihat detail thread</t>
  </si>
  <si>
    <t>1. Dari halaman Beranda, klik judul salah satu thread</t>
  </si>
  <si>
    <t>Ada data thread di beranda</t>
  </si>
  <si>
    <t>Halaman detail thread terbuka. Menampilkan: judul, konten (render markdown), info penulis, kategori, tags, action bar (komentar, view, vote, bookmark), dan seksi komentar.</t>
  </si>
  <si>
    <t>TC-015</t>
  </si>
  <si>
    <t>Edit thread milik sendiri</t>
  </si>
  <si>
    <t>1. Login sebagai pemilik thread
2. Buka halaman detail thread milik Anda
3. Klik ikon pensil (Edit)
4. Ubah judul atau konten
5. Klik "Simpan Perubahan"</t>
  </si>
  <si>
    <t>Sudah login, memiliki thread</t>
  </si>
  <si>
    <t>• Ubah judul menjadi: "Test Upload Fitur Thread - edited"</t>
  </si>
  <si>
    <t>Perubahan tersimpan. Halaman kembali ke detail thread dengan judul/konten yang sudah diperbarui.</t>
  </si>
  <si>
    <t>Tidak ada perubahan pada tampilan setelah aksi dilakukan.</t>
  </si>
  <si>
    <t>Request PUT /api/v1/threads/test-upload-fitur-thread mengembalikan respons HTTP 400 (Bad Request).</t>
  </si>
  <si>
    <t>TC-016</t>
  </si>
  <si>
    <t>Hapus thread milik sendiri</t>
  </si>
  <si>
    <t>1. Login sebagai pemilik thread
2. Buka halaman detail thread milik Anda
3. Klik ikon tempat sampah (Hapus)
4. Konfirmasi pada popup dialog</t>
  </si>
  <si>
    <t>Thread terhapus. Diarahkan kembali ke Beranda. Thread tidak lagi muncul di daftar.</t>
  </si>
  <si>
    <t>Request Delete /api/v1/threads/test-upload-fitur-thread mengembalikan respons HTTP 400 (Bad Request).</t>
  </si>
  <si>
    <t>TC-017</t>
  </si>
  <si>
    <t>Unggah gambar ke konten thread</t>
  </si>
  <si>
    <t>1. Login
2. Klik "+ Thread Baru"
3. Di area Isi Diskusi, klik ikon gambar (unggah gambar)
4. Pilih file gambar valid (JPG/PNG, &lt; 2MB)
5. Tunggu selesai upload</t>
  </si>
  <si>
    <t>Sudah login, file gambar &lt; 2MB</t>
  </si>
  <si>
    <t>• File: gambar.jpg (&lt; 2MB)</t>
  </si>
  <si>
    <t>Gambar berhasil diunggah. URL gambar otomatis dimasukkan ke dalam konten dalam format Markdown: ![image](url)</t>
  </si>
  <si>
    <t>TC-018</t>
  </si>
  <si>
    <t>Unggah gambar lebih dari 2MB ke konten thread</t>
  </si>
  <si>
    <t>1. Login
2. Klik "+ Thread Baru"
3. Klik ikon unggah gambar
4. Pilih file gambar &gt; 2MB</t>
  </si>
  <si>
    <t>Sudah login, file gambar &gt; 2MB</t>
  </si>
  <si>
    <t>• File: besar.jpg (&gt; 2MB)</t>
  </si>
  <si>
    <t>Muncul toast notification merah dengan pesan "Ukuran file maksimal 2MB". File tidak terunggah.</t>
  </si>
  <si>
    <t>TC-019</t>
  </si>
  <si>
    <t>Pagination di halaman Beranda</t>
  </si>
  <si>
    <t>1. Buka halaman Beranda
2. Pastikan ada lebih dari 10 thread
3. Klik tombol paginasi halaman 2</t>
  </si>
  <si>
    <t>Ada lebih dari 10 thread di database</t>
  </si>
  <si>
    <t>Halaman beralih ke halaman 2. Daftar thread yang berbeda ditampilkan. URL tidak harus berubah (state internal).</t>
  </si>
  <si>
    <t>TS-03</t>
  </si>
  <si>
    <t>Comment System</t>
  </si>
  <si>
    <t>TC-020</t>
  </si>
  <si>
    <t>Menambahkan komentar baru pada thread</t>
  </si>
  <si>
    <t>1. Login
2. Buka halaman detail thread mana saja
3. Scroll ke seksi "Komentar"
4. Isi textarea komentar
5. Klik tombol "Kirim"</t>
  </si>
  <si>
    <t>Sudah login, thread tidak dalam status terkunci (locked)</t>
  </si>
  <si>
    <t>• Komentar: "Ini adalah komentar test regression."</t>
  </si>
  <si>
    <t>Komentar berhasil dikirim dan muncul di daftar komentar. Jumlah komentar bertambah 1.</t>
  </si>
  <si>
    <t>komen tidak melakukan auto-refresh/re-fetch data setelah data baru ditambahkan.</t>
  </si>
  <si>
    <t>TC-021</t>
  </si>
  <si>
    <t>Mengirim komentar kosong</t>
  </si>
  <si>
    <t>1. Login
2. Buka detail thread
3. Biarkan textarea komentar kosong
4. Klik tombol "Kirim"</t>
  </si>
  <si>
    <t>• Komentar: (kosong)</t>
  </si>
  <si>
    <t>Tombol kirim tidak berfungsi atau muncul error validasi. Komentar kosong tidak ter-submit.</t>
  </si>
  <si>
    <t>muncul error message Komentar tidak boleh kosong</t>
  </si>
  <si>
    <t>TC-022</t>
  </si>
  <si>
    <t>Membalas komentar (reply/nested comment)</t>
  </si>
  <si>
    <t>1. Login
2. Buka detail thread yang ada komentarnya
3. Klik tombol "Balas" di salah satu komentar
4. Isi textarea balasan
5. Klik "Kirim"</t>
  </si>
  <si>
    <t>Sudah login, ada komentar di thread</t>
  </si>
  <si>
    <t>• Balasan: "Ini adalah balasan test regression."</t>
  </si>
  <si>
    <t>Balasan berhasil dikirim dan muncul di bawah komentar induk secara hierarkis (nested/indented).</t>
  </si>
  <si>
    <t>TC-023</t>
  </si>
  <si>
    <t>Tidak bisa komentar di thread terkunci (locked)</t>
  </si>
  <si>
    <t>1. Login sebagai user biasa
2. Buka halaman detail thread yang sudah dikunci oleh moderator/admin
3. Amati seksi komentar</t>
  </si>
  <si>
    <t>Thread dalam status locked</t>
  </si>
  <si>
    <t>Form komentar tidak tersedia. Muncul pesan "Thread ini telah dikunci oleh moderator. Anda tidak dapat menambahkan komentar baru."</t>
  </si>
  <si>
    <t>Skipped</t>
  </si>
  <si>
    <t>Fitur belum tersedia dan belum dapat diuji.</t>
  </si>
  <si>
    <t>Fitur belum diimplementasikan.</t>
  </si>
  <si>
    <t>TC-024</t>
  </si>
  <si>
    <t>Guest tidak bisa mengirim komentar</t>
  </si>
  <si>
    <t>1. Buka halaman detail thread tanpa login
2. Amati seksi komentar</t>
  </si>
  <si>
    <t>Form komentar tidak tersedia. Muncul tombol atau pesan yang mengarahkan user untuk login terlebih dahulu.</t>
  </si>
  <si>
    <t>TS-04</t>
  </si>
  <si>
    <t>Voting System</t>
  </si>
  <si>
    <t>TC-025</t>
  </si>
  <si>
    <t>Upvote sebuah thread</t>
  </si>
  <si>
    <t>1. Login
2. Buka halaman Beranda atau detail thread
3. Klik tombol panah atas (upvote) pada sebuah thread</t>
  </si>
  <si>
    <t>Sudah login, belum pernah vote thread ini</t>
  </si>
  <si>
    <t>Skor bertambah 1. Ikon upvote berubah warna (aktif/biru). Perubahan tersimpan setelah refresh halaman.</t>
  </si>
  <si>
    <t>TC-026</t>
  </si>
  <si>
    <t>Batalkan upvote (toggle)</t>
  </si>
  <si>
    <t>1. Login
2. Buka thread yang sudah di-upvote
3. Klik kembali tombol upvote (yang sedang aktif)</t>
  </si>
  <si>
    <t>Sudah login, sudah pernah upvote thread ini</t>
  </si>
  <si>
    <t>Skor berkurang 1. Ikon upvote kembali ke warna default (tidak aktif).</t>
  </si>
  <si>
    <t>TC-027</t>
  </si>
  <si>
    <t>Downvote sebuah thread</t>
  </si>
  <si>
    <t>1. Login
2. Buka halaman detail thread
3. Klik tombol panah bawah (downvote)</t>
  </si>
  <si>
    <t>Skor berkurang 1. Ikon downvote berubah warna aktif.</t>
  </si>
  <si>
    <t>TC-028</t>
  </si>
  <si>
    <t>Guest tidak bisa vote</t>
  </si>
  <si>
    <t>1. Buka halaman Beranda tanpa login
2. Coba klik tombol upvote pada thread mana saja</t>
  </si>
  <si>
    <t>Tidak terjadi perubahan skor. User diarahkan ke halaman login atau tombol tidak responsif.</t>
  </si>
  <si>
    <t>TS-05</t>
  </si>
  <si>
    <t>Bookmark System</t>
  </si>
  <si>
    <t>TC-029</t>
  </si>
  <si>
    <t>Bookmark sebuah thread dari Beranda</t>
  </si>
  <si>
    <t>1. Login
2. Di halaman Beranda, klik ikon bookmark pada salah satu thread card</t>
  </si>
  <si>
    <t>Sudah login, thread belum di-bookmark</t>
  </si>
  <si>
    <t>Ikon bookmark berubah menjadi solid/terisi (warna aktif). Thread tersimpan ke daftar bookmark.</t>
  </si>
  <si>
    <t>TC-030</t>
  </si>
  <si>
    <t>Hapus bookmark dari Beranda</t>
  </si>
  <si>
    <t>1. Login
2. Di Beranda, klik ikon bookmark pada thread yang SUDAH di-bookmark (ikon solid)</t>
  </si>
  <si>
    <t>Sudah login, thread sudah di-bookmark</t>
  </si>
  <si>
    <t>Ikon bookmark kembali menjadi outline/kosong. Thread dihapus dari daftar bookmark.</t>
  </si>
  <si>
    <t>TC-031</t>
  </si>
  <si>
    <t>Melihat daftar thread yang di-bookmark</t>
  </si>
  <si>
    <t>1. Login
2. Klik menu "Bookmark" di sidebar atau mobile nav
3. Buka /settings/bookmarks</t>
  </si>
  <si>
    <t>Sudah login, sudah ada thread yang di-bookmark</t>
  </si>
  <si>
    <t>Halaman Bookmark menampilkan semua thread yang pernah di-bookmark. Setiap item menampilkan jumlah komentar dan skor upvote yang benar.</t>
  </si>
  <si>
    <t>TC-032</t>
  </si>
  <si>
    <t>Halaman bookmark kosong jika belum ada</t>
  </si>
  <si>
    <t>1. Login dengan akun baru yang belum pernah bookmark
2. Buka /settings/bookmarks</t>
  </si>
  <si>
    <t>Sudah login, belum ada bookmark</t>
  </si>
  <si>
    <t>Tampil pesan kosong "Belum ada bookmark" dengan deskripsi yang sesuai.</t>
  </si>
  <si>
    <t>TS-06</t>
  </si>
  <si>
    <t>Notification System</t>
  </si>
  <si>
    <t>TC-033</t>
  </si>
  <si>
    <t>Notifikasi muncul saat komentar dibalas</t>
  </si>
  <si>
    <t>1. Login sebagai UserA
2. Buat thread atau komentar
3. Logout
4. Login sebagai UserB
5. Balas komentar/thread milik UserA
6. Logout
7. Login kembali sebagai UserA
8. Buka halaman /notifications</t>
  </si>
  <si>
    <t>Ada 2 akun user berbeda</t>
  </si>
  <si>
    <t>Notifikasi muncul di halaman Notifikasi UserA dengan pesan "UserB membalas diskusi Anda." disertai badge merah di sidebar.</t>
  </si>
  <si>
    <t>Sprint 2</t>
  </si>
  <si>
    <t>TC-034</t>
  </si>
  <si>
    <t>Notifikasi muncul saat thread di-upvote</t>
  </si>
  <si>
    <t>1. Login sebagai UserA, buat thread
2. Login sebagai UserB, upvote thread UserA
3. Login kembali sebagai UserA
4. Buka /notifications</t>
  </si>
  <si>
    <t>Notifikasi muncul dengan pesan "UserB memberikan upvote pada diskusi/komentar Anda."</t>
  </si>
  <si>
    <t>TC-035</t>
  </si>
  <si>
    <t>Badge notifikasi merah tampil di sidebar</t>
  </si>
  <si>
    <t>1. Login sebagai UserA
2. Pastikan ada notifikasi belum dibaca
3. Amati sidebar (menu Notifikasi)</t>
  </si>
  <si>
    <t>Ada notifikasi yang belum dibaca</t>
  </si>
  <si>
    <t>Badge merah dengan angka jumlah notifikasi belum dibaca tampil di sebelah kanan tulisan "Notifikasi" di sidebar.</t>
  </si>
  <si>
    <t>TC-036</t>
  </si>
  <si>
    <t>Badge notifikasi hilang setelah dibaca</t>
  </si>
  <si>
    <t>1. Login
2. Pastikan badge notifikasi merah muncul
3. Klik menu Notifikasi
4. Klik salah satu notifikasi</t>
  </si>
  <si>
    <t>Ada notifikasi belum dibaca</t>
  </si>
  <si>
    <t>Notifikasi ditandai sebagai dibaca. Badge angka berkurang. Jika semua sudah dibaca, badge hilang sepenuhnya.</t>
  </si>
  <si>
    <t>TS-07</t>
  </si>
  <si>
    <t>Categories</t>
  </si>
  <si>
    <t>TC-037</t>
  </si>
  <si>
    <t>Melihat daftar semua kategori</t>
  </si>
  <si>
    <t>1. Buka URL: /categories</t>
  </si>
  <si>
    <t>Ada data kategori di database</t>
  </si>
  <si>
    <t>Halaman menampilkan semua kategori yang tersedia dengan nama, deskripsi, dan jumlah thread per kategori.</t>
  </si>
  <si>
    <t>TC-038</t>
  </si>
  <si>
    <t>Melihat thread per kategori</t>
  </si>
  <si>
    <t>1. Buka /categories
2. Klik salah satu kategori
3. Atau klik nama kategori dari sidebar</t>
  </si>
  <si>
    <t>Ada kategori dengan thread di dalamnya</t>
  </si>
  <si>
    <t>Halaman kategori terbuka menampilkan daftar thread dalam kategori tersebut.</t>
  </si>
  <si>
    <t>TC-039</t>
  </si>
  <si>
    <t>Filter thread berdasarkan kategori dari Beranda</t>
  </si>
  <si>
    <t>1. Buka Beranda
2. Klik salah satu nama kategori di sidebar kiri</t>
  </si>
  <si>
    <t>Diarahkan ke halaman thread khusus kategori tersebut. Hanya thread milik kategori itu yang tampil.</t>
  </si>
  <si>
    <t>TS-08</t>
  </si>
  <si>
    <t>User Profile &amp; Settings</t>
  </si>
  <si>
    <t>TC-040</t>
  </si>
  <si>
    <t>Melihat halaman pengaturan profil</t>
  </si>
  <si>
    <t>1. Login
2. Klik avatar/foto profil di navbar
3. Atau akses langsung /settings/profile</t>
  </si>
  <si>
    <t>Halaman pengaturan profil terbuka. Menampilkan: field Username (read-only), Email (read-only), foto profil, dan field Bio.</t>
  </si>
  <si>
    <t>TC-041</t>
  </si>
  <si>
    <t>Update Bio profil</t>
  </si>
  <si>
    <t>1. Login
2. Buka /settings/profile
3. Ubah isi field "Bio"
4. Klik tombol "Simpan Perubahan"</t>
  </si>
  <si>
    <t>• Bio: "Ini bio baru hasil test regression."</t>
  </si>
  <si>
    <t>Muncul toast notification hijau "Profil berhasil diperbarui!". Bio tersimpan dan tampil saat halaman di-refresh.</t>
  </si>
  <si>
    <t>TC-042</t>
  </si>
  <si>
    <t>Upload foto profil (avatar) dengan file valid</t>
  </si>
  <si>
    <t>1. Login
2. Buka /settings/profile
3. Klik tombol "Pilih Foto Baru"
4. Pilih file JPG/PNG/WebP &lt; 2MB
5. Klik "Simpan Perubahan"</t>
  </si>
  <si>
    <t>Sudah login, file gambar valid &lt; 2MB</t>
  </si>
  <si>
    <t>• File: avatar.jpg (&lt; 2MB)</t>
  </si>
  <si>
    <t>Foto profil ter-upload, preview avatar berubah. Setelah simpan, foto baru tersimpan dan tampil di navbar.</t>
  </si>
  <si>
    <t>TC-043</t>
  </si>
  <si>
    <t>Upload foto profil lebih dari 2MB</t>
  </si>
  <si>
    <t>1. Login
2. Buka /settings/profile
3. Klik "Pilih Foto Baru"
4. Pilih file gambar &gt; 2MB</t>
  </si>
  <si>
    <t>Sudah login, file &gt; 2MB</t>
  </si>
  <si>
    <t>Muncul toast notification merah "Ukuran file maksimal 2MB". File tidak terunggah.</t>
  </si>
  <si>
    <t>TC-044</t>
  </si>
  <si>
    <t>Bio melebihi 250 karakter</t>
  </si>
  <si>
    <t>1. Login
2. Buka /settings/profile
3. Isi Bio lebih dari 250 karakter
4. Klik "Simpan Perubahan"</t>
  </si>
  <si>
    <t>• Bio: string 251+ karakter</t>
  </si>
  <si>
    <t>Muncul pesan error inline "Bio maksimal 250 karakter". Perubahan tidak disimpan.</t>
  </si>
  <si>
    <t xml:space="preserve">Validasi baru ditampilkan setelah tombol simpan ditekan. Tidak ada validasi saat pengguna mengetik melewati 250 kata  </t>
  </si>
  <si>
    <t>TS-09</t>
  </si>
  <si>
    <t>Search</t>
  </si>
  <si>
    <t>TC-045</t>
  </si>
  <si>
    <t>Mencari thread melalui search bar</t>
  </si>
  <si>
    <t>1. Klik ikon Search di navbar atau mobile nav
2. Ketik kata kunci yang ada di judul thread
3. Tekan Enter atau tunggu hasil muncul</t>
  </si>
  <si>
    <t>Ada thread dengan kata kunci yang dicari</t>
  </si>
  <si>
    <t>• Kata kunci: "regression"</t>
  </si>
  <si>
    <t>Hasil pencarian menampilkan thread yang relevan dengan kata kunci tersebut.</t>
  </si>
  <si>
    <t>TC-046</t>
  </si>
  <si>
    <t>Pencarian dengan kata yang tidak ada</t>
  </si>
  <si>
    <t>1. Buka fitur pencarian
2. Ketik kata kunci yang tidak ada di database</t>
  </si>
  <si>
    <t>• Kata kunci: "xyzabc123notfound"</t>
  </si>
  <si>
    <t>Tampil pesan kosong / no result yang informatif. Tidak ada error.</t>
  </si>
  <si>
    <t>TS-10</t>
  </si>
  <si>
    <t>Admin - Category Management</t>
  </si>
  <si>
    <t>TC-047</t>
  </si>
  <si>
    <t>Admin menambah kategori baru</t>
  </si>
  <si>
    <t>1. Login sebagai admin
2. Buka /admin/categories
3. Klik tombol "+ Tambah"
4. Isi Nama, Slug, dan Deskripsi
5. Klik "Simpan"</t>
  </si>
  <si>
    <t>Login sebagai user dengan role admin</t>
  </si>
  <si>
    <t>• Nama: Test Category
• Slug: test-category
• Deskripsi: Deskripsi test</t>
  </si>
  <si>
    <t>Kategori baru berhasil ditambahkan dan muncul di daftar kategori.</t>
  </si>
  <si>
    <t>Sprint 3</t>
  </si>
  <si>
    <t>TC-048</t>
  </si>
  <si>
    <t>Admin mengedit kategori</t>
  </si>
  <si>
    <t>1. Login sebagai admin
2. Buka /admin/categories
3. Klik ikon pensil pada salah satu kategori
4. Ubah nama atau deskripsi
5. Klik "Simpan"</t>
  </si>
  <si>
    <t>Login sebagai admin</t>
  </si>
  <si>
    <t>Perubahan tersimpan dan tampil di daftar kategori.</t>
  </si>
  <si>
    <t>TC-049</t>
  </si>
  <si>
    <t>Admin menghapus kategori</t>
  </si>
  <si>
    <t>1. Login sebagai admin
2. Buka /admin/categories
3. Klik ikon hapus pada kategori yang ingin dihapus
4. Konfirmasi pada dialog</t>
  </si>
  <si>
    <t>Kategori terhapus dan tidak lagi muncul di daftar.</t>
  </si>
  <si>
    <t>TC-050</t>
  </si>
  <si>
    <t>User biasa tidak bisa akses halaman admin</t>
  </si>
  <si>
    <t>1. Login sebagai user biasa (bukan admin/mod)
2. Coba akses /admin/categories secara langsung di URL</t>
  </si>
  <si>
    <t>Login sebagai user biasa</t>
  </si>
  <si>
    <t>Tampil error atau diarahkan kembali. User tidak bisa melihat atau menggunakan fitur admin.</t>
  </si>
  <si>
    <t>user masih bisa melihat namun tidak bisa menggunakan fitur admin</t>
  </si>
  <si>
    <t>TS-11</t>
  </si>
  <si>
    <t>Admin - User Management</t>
  </si>
  <si>
    <t>TC-051</t>
  </si>
  <si>
    <t>Admin melihat daftar user</t>
  </si>
  <si>
    <t>1. Login sebagai admin
2. Buka /admin/users</t>
  </si>
  <si>
    <t>Daftar semua user terdaftar tampil lengkap dengan info: username, email, role, dan status.</t>
  </si>
  <si>
    <t>TC-052</t>
  </si>
  <si>
    <t>Admin ban/unban user</t>
  </si>
  <si>
    <t>1. Login sebagai admin
2. Buka /admin/users
3. Cari user target
4. Klik tombol Ban
5. Konfirmasi aksi</t>
  </si>
  <si>
    <t>Status user berubah menjadi "banned". User yang di-ban tidak bisa login.</t>
  </si>
  <si>
    <t>muncul error message user account is banned saat login</t>
  </si>
  <si>
    <t>TS-12</t>
  </si>
  <si>
    <t>Moderator - Report Management</t>
  </si>
  <si>
    <t>TC-053</t>
  </si>
  <si>
    <t>Moderator melihat laporan</t>
  </si>
  <si>
    <t>1. Login sebagai moderator atau admin
2. Buka /mod/reports</t>
  </si>
  <si>
    <t>Login sebagai moderator/admin</t>
  </si>
  <si>
    <t>Daftar laporan (report) dari user tampil lengkap.</t>
  </si>
  <si>
    <t>TC-054</t>
  </si>
  <si>
    <t>User melaporkan thread</t>
  </si>
  <si>
    <t>1. Login sebagai user biasa
2. Buka detail thread
3. Klik ikon/tombol "Laporkan"
4. Isi alasan laporan
5. Submit</t>
  </si>
  <si>
    <t>Sudah login sebagai user biasa</t>
  </si>
  <si>
    <t>• Alasan: "Konten tidak pantas"</t>
  </si>
  <si>
    <t>Laporan berhasil dikirim. Moderator dapat melihat laporan di halaman /mod/reports.</t>
  </si>
  <si>
    <t>TS-13</t>
  </si>
  <si>
    <t>UI &amp; Navigation</t>
  </si>
  <si>
    <t>TC-055</t>
  </si>
  <si>
    <t>Dark Mode / Light Mode toggle</t>
  </si>
  <si>
    <t>1. Buka aplikasi (bisa sebagai guest)
2. Klik tombol "Dark Mode" di bagian bawah sidebar</t>
  </si>
  <si>
    <t>Tema berubah ke dark mode. Semua halaman menggunakan warna gelap. Klik lagi untuk kembali ke light mode.</t>
  </si>
  <si>
    <t>TC-056</t>
  </si>
  <si>
    <t>Halaman 404 untuk URL tidak valid</t>
  </si>
  <si>
    <t>1. Buka URL yang tidak ada: /halaman-yang-tidak-ada</t>
  </si>
  <si>
    <t>Tampil halaman 404 / Not Found yang informatif (bukan error kosong).</t>
  </si>
  <si>
    <t>TC-057</t>
  </si>
  <si>
    <t>Responsive layout di mobile (layar kecil)</t>
  </si>
  <si>
    <t>1. Buka aplikasi di browser
2. Tekan F12 untuk DevTools
3. Toggle Device Toolbar (Ctrl+Shift+M)
4. Pilih ukuran layar mobile (misal: 375px)
5. Navigasi ke Beranda, Notifikasi, Bookmark, Detail Thread</t>
  </si>
  <si>
    <t>• Device: iPhone SE (375x667)</t>
  </si>
  <si>
    <t>Sidebar berubah menjadi mobile nav (menu bawah). Layout menyesuaikan. Tidak ada elemen yang overflow/terpotong.</t>
  </si>
  <si>
    <t>User Acceptance Testing (UAT)</t>
  </si>
  <si>
    <t>Total Cases</t>
  </si>
  <si>
    <t>Passed</t>
  </si>
  <si>
    <t>Failed</t>
  </si>
  <si>
    <t>Pending</t>
  </si>
  <si>
    <t>Completion</t>
  </si>
  <si>
    <t>Skenario</t>
  </si>
  <si>
    <t>ID Kasus</t>
  </si>
  <si>
    <t>Deskripsi</t>
  </si>
  <si>
    <t>Langkah</t>
  </si>
  <si>
    <t>Hasil yang Diharapkan</t>
  </si>
  <si>
    <t>Status UAT</t>
  </si>
  <si>
    <t>Catatan UAT</t>
  </si>
  <si>
    <t>Disetujui Oleh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</si>
</sst>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2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6.0"/>
      <color rgb="FFFFFFFF"/>
      <name val="Montserrat"/>
    </font>
    <font>
      <b/>
      <color theme="1"/>
      <name val="Roboto"/>
    </font>
    <font>
      <color theme="1"/>
      <name val="Roboto"/>
    </font>
    <font>
      <b/>
      <color rgb="FFFFFFFF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left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6" fontId="2" numFmtId="0" xfId="0" applyAlignment="1" applyFont="1">
      <alignment horizontal="left" shrinkToFit="0" vertical="center" wrapText="1"/>
    </xf>
    <xf borderId="0" fillId="6" fontId="2" numFmtId="0" xfId="0" applyAlignment="1" applyFont="1">
      <alignment horizontal="left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164" xfId="0" applyAlignment="1" applyFont="1" applyNumberFormat="1">
      <alignment horizontal="center" readingOrder="0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0" fillId="7" fontId="2" numFmtId="0" xfId="0" applyAlignment="1" applyFont="1">
      <alignment horizontal="left" shrinkToFit="0" vertical="center" wrapText="1"/>
    </xf>
    <xf borderId="0" fillId="7" fontId="2" numFmtId="0" xfId="0" applyAlignment="1" applyFont="1">
      <alignment horizontal="left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164" xfId="0" applyAlignment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left" shrinkToFit="0" vertical="center" wrapText="1"/>
    </xf>
    <xf borderId="0" fillId="8" fontId="2" numFmtId="0" xfId="0" applyAlignment="1" applyFont="1">
      <alignment horizontal="left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8" fontId="2" numFmtId="164" xfId="0" applyAlignment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center" shrinkToFit="0" vertical="center" wrapText="1"/>
    </xf>
    <xf borderId="0" fillId="9" fontId="2" numFmtId="0" xfId="0" applyAlignment="1" applyFont="1">
      <alignment horizontal="left" shrinkToFit="0" vertical="center" wrapText="1"/>
    </xf>
    <xf borderId="0" fillId="9" fontId="2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9" fontId="2" numFmtId="164" xfId="0" applyAlignment="1" applyFont="1" applyNumberFormat="1">
      <alignment horizontal="center" readingOrder="0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0" fontId="2" numFmtId="0" xfId="0" applyAlignment="1" applyFont="1">
      <alignment horizontal="left" shrinkToFit="0" vertical="center" wrapText="1"/>
    </xf>
    <xf borderId="0" fillId="10" fontId="2" numFmtId="0" xfId="0" applyAlignment="1" applyFont="1">
      <alignment horizontal="left" readingOrder="0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10" fontId="2" numFmtId="164" xfId="0" applyAlignment="1" applyFont="1" applyNumberFormat="1">
      <alignment horizontal="center" readingOrder="0" shrinkToFit="0" vertical="center" wrapText="1"/>
    </xf>
    <xf borderId="0" fillId="11" fontId="2" numFmtId="0" xfId="0" applyAlignment="1" applyFill="1" applyFont="1">
      <alignment horizontal="center" shrinkToFit="0" vertical="center" wrapText="1"/>
    </xf>
    <xf borderId="0" fillId="11" fontId="2" numFmtId="0" xfId="0" applyAlignment="1" applyFont="1">
      <alignment horizontal="left" shrinkToFit="0" vertical="center" wrapText="1"/>
    </xf>
    <xf borderId="0" fillId="11" fontId="2" numFmtId="0" xfId="0" applyAlignment="1" applyFont="1">
      <alignment horizontal="left" readingOrder="0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0" fillId="11" fontId="2" numFmtId="164" xfId="0" applyAlignment="1" applyFont="1" applyNumberFormat="1">
      <alignment horizontal="center" readingOrder="0" shrinkToFit="0" vertical="center" wrapText="1"/>
    </xf>
    <xf borderId="0" fillId="12" fontId="3" numFmtId="0" xfId="0" applyAlignment="1" applyFill="1" applyFont="1">
      <alignment horizontal="center" vertical="center"/>
    </xf>
    <xf borderId="0" fillId="0" fontId="4" numFmtId="0" xfId="0" applyAlignment="1" applyFont="1">
      <alignment horizontal="right" shrinkToFit="0" wrapText="1"/>
    </xf>
    <xf borderId="0" fillId="0" fontId="5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12" fontId="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28.78"/>
    <col customWidth="1" min="3" max="3" width="12.78"/>
    <col customWidth="1" min="4" max="4" width="42.78"/>
    <col customWidth="1" min="5" max="5" width="16.78"/>
    <col customWidth="1" min="6" max="6" width="65.78"/>
    <col customWidth="1" min="7" max="7" width="42.78"/>
    <col customWidth="1" min="8" max="8" width="54.0"/>
    <col customWidth="1" min="9" max="9" width="77.11"/>
    <col customWidth="1" min="10" max="10" width="32.56"/>
    <col customWidth="1" min="11" max="11" width="37.22"/>
    <col customWidth="1" min="12" max="12" width="14.78"/>
    <col customWidth="1" min="13" max="14" width="16.78"/>
    <col customWidth="1" min="15" max="15" width="34.67"/>
    <col customWidth="1" min="16" max="16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5" t="s">
        <v>23</v>
      </c>
      <c r="I2" s="3" t="s">
        <v>24</v>
      </c>
      <c r="J2" s="6" t="s">
        <v>25</v>
      </c>
      <c r="K2" s="6" t="s">
        <v>26</v>
      </c>
      <c r="L2" s="3" t="s">
        <v>27</v>
      </c>
      <c r="M2" s="7">
        <v>46204.0</v>
      </c>
      <c r="N2" s="3" t="s">
        <v>28</v>
      </c>
      <c r="O2" s="4"/>
      <c r="P2" s="3" t="s">
        <v>29</v>
      </c>
    </row>
    <row r="3">
      <c r="A3" s="3" t="s">
        <v>16</v>
      </c>
      <c r="B3" s="3" t="s">
        <v>17</v>
      </c>
      <c r="C3" s="3" t="s">
        <v>30</v>
      </c>
      <c r="D3" s="3" t="s">
        <v>31</v>
      </c>
      <c r="E3" s="3" t="s">
        <v>20</v>
      </c>
      <c r="F3" s="4" t="s">
        <v>32</v>
      </c>
      <c r="G3" s="3" t="s">
        <v>33</v>
      </c>
      <c r="H3" s="5" t="s">
        <v>34</v>
      </c>
      <c r="I3" s="3" t="s">
        <v>35</v>
      </c>
      <c r="J3" s="6" t="s">
        <v>25</v>
      </c>
      <c r="K3" s="6" t="s">
        <v>26</v>
      </c>
      <c r="L3" s="3" t="s">
        <v>27</v>
      </c>
      <c r="M3" s="7">
        <v>46204.0</v>
      </c>
      <c r="N3" s="3" t="s">
        <v>28</v>
      </c>
      <c r="O3" s="5" t="s">
        <v>36</v>
      </c>
      <c r="P3" s="3" t="s">
        <v>29</v>
      </c>
    </row>
    <row r="4">
      <c r="A4" s="3" t="s">
        <v>16</v>
      </c>
      <c r="B4" s="3" t="s">
        <v>17</v>
      </c>
      <c r="C4" s="3" t="s">
        <v>37</v>
      </c>
      <c r="D4" s="3" t="s">
        <v>38</v>
      </c>
      <c r="E4" s="3" t="s">
        <v>20</v>
      </c>
      <c r="F4" s="4" t="s">
        <v>39</v>
      </c>
      <c r="G4" s="3" t="s">
        <v>40</v>
      </c>
      <c r="H4" s="5" t="s">
        <v>41</v>
      </c>
      <c r="I4" s="3" t="s">
        <v>42</v>
      </c>
      <c r="J4" s="6" t="s">
        <v>25</v>
      </c>
      <c r="K4" s="6" t="s">
        <v>26</v>
      </c>
      <c r="L4" s="3" t="s">
        <v>27</v>
      </c>
      <c r="M4" s="7">
        <v>46204.0</v>
      </c>
      <c r="N4" s="3" t="s">
        <v>28</v>
      </c>
      <c r="O4" s="4"/>
      <c r="P4" s="3" t="s">
        <v>29</v>
      </c>
    </row>
    <row r="5">
      <c r="A5" s="3" t="s">
        <v>16</v>
      </c>
      <c r="B5" s="3" t="s">
        <v>17</v>
      </c>
      <c r="C5" s="3" t="s">
        <v>43</v>
      </c>
      <c r="D5" s="3" t="s">
        <v>44</v>
      </c>
      <c r="E5" s="3" t="s">
        <v>20</v>
      </c>
      <c r="F5" s="4" t="s">
        <v>45</v>
      </c>
      <c r="G5" s="3" t="s">
        <v>33</v>
      </c>
      <c r="H5" s="5" t="s">
        <v>46</v>
      </c>
      <c r="I5" s="3" t="s">
        <v>47</v>
      </c>
      <c r="J5" s="6" t="s">
        <v>25</v>
      </c>
      <c r="K5" s="6" t="s">
        <v>26</v>
      </c>
      <c r="L5" s="3" t="s">
        <v>27</v>
      </c>
      <c r="M5" s="7">
        <v>46204.0</v>
      </c>
      <c r="N5" s="3" t="s">
        <v>28</v>
      </c>
      <c r="O5" s="4"/>
      <c r="P5" s="3" t="s">
        <v>29</v>
      </c>
    </row>
    <row r="6">
      <c r="A6" s="3" t="s">
        <v>16</v>
      </c>
      <c r="B6" s="3" t="s">
        <v>17</v>
      </c>
      <c r="C6" s="3" t="s">
        <v>48</v>
      </c>
      <c r="D6" s="3" t="s">
        <v>49</v>
      </c>
      <c r="E6" s="3" t="s">
        <v>20</v>
      </c>
      <c r="F6" s="4" t="s">
        <v>50</v>
      </c>
      <c r="G6" s="3" t="s">
        <v>51</v>
      </c>
      <c r="H6" s="5" t="s">
        <v>52</v>
      </c>
      <c r="I6" s="3" t="s">
        <v>53</v>
      </c>
      <c r="J6" s="6" t="s">
        <v>54</v>
      </c>
      <c r="K6" s="6" t="s">
        <v>55</v>
      </c>
      <c r="L6" s="3" t="s">
        <v>27</v>
      </c>
      <c r="M6" s="7">
        <v>46204.0</v>
      </c>
      <c r="N6" s="3" t="s">
        <v>28</v>
      </c>
      <c r="O6" s="5" t="s">
        <v>56</v>
      </c>
      <c r="P6" s="3" t="s">
        <v>29</v>
      </c>
    </row>
    <row r="7">
      <c r="A7" s="3" t="s">
        <v>16</v>
      </c>
      <c r="B7" s="3" t="s">
        <v>17</v>
      </c>
      <c r="C7" s="3" t="s">
        <v>57</v>
      </c>
      <c r="D7" s="3" t="s">
        <v>58</v>
      </c>
      <c r="E7" s="3" t="s">
        <v>20</v>
      </c>
      <c r="F7" s="4" t="s">
        <v>59</v>
      </c>
      <c r="G7" s="3" t="s">
        <v>60</v>
      </c>
      <c r="H7" s="5" t="s">
        <v>61</v>
      </c>
      <c r="I7" s="3" t="s">
        <v>62</v>
      </c>
      <c r="J7" s="6" t="s">
        <v>25</v>
      </c>
      <c r="K7" s="3"/>
      <c r="L7" s="3" t="s">
        <v>27</v>
      </c>
      <c r="M7" s="7">
        <v>46204.0</v>
      </c>
      <c r="N7" s="3" t="s">
        <v>28</v>
      </c>
      <c r="O7" s="5" t="s">
        <v>63</v>
      </c>
      <c r="P7" s="3" t="s">
        <v>29</v>
      </c>
    </row>
    <row r="8">
      <c r="A8" s="3" t="s">
        <v>16</v>
      </c>
      <c r="B8" s="3" t="s">
        <v>17</v>
      </c>
      <c r="C8" s="3" t="s">
        <v>64</v>
      </c>
      <c r="D8" s="3" t="s">
        <v>65</v>
      </c>
      <c r="E8" s="3" t="s">
        <v>20</v>
      </c>
      <c r="F8" s="4" t="s">
        <v>66</v>
      </c>
      <c r="G8" s="3" t="s">
        <v>33</v>
      </c>
      <c r="H8" s="5" t="s">
        <v>67</v>
      </c>
      <c r="I8" s="3" t="s">
        <v>68</v>
      </c>
      <c r="J8" s="6" t="s">
        <v>54</v>
      </c>
      <c r="K8" s="6" t="s">
        <v>62</v>
      </c>
      <c r="L8" s="3" t="s">
        <v>27</v>
      </c>
      <c r="M8" s="7">
        <v>46204.0</v>
      </c>
      <c r="N8" s="3" t="s">
        <v>28</v>
      </c>
      <c r="O8" s="5" t="s">
        <v>63</v>
      </c>
      <c r="P8" s="3" t="s">
        <v>29</v>
      </c>
    </row>
    <row r="9">
      <c r="A9" s="3" t="s">
        <v>16</v>
      </c>
      <c r="B9" s="3" t="s">
        <v>17</v>
      </c>
      <c r="C9" s="3" t="s">
        <v>69</v>
      </c>
      <c r="D9" s="3" t="s">
        <v>70</v>
      </c>
      <c r="E9" s="3" t="s">
        <v>20</v>
      </c>
      <c r="F9" s="4" t="s">
        <v>71</v>
      </c>
      <c r="G9" s="3" t="s">
        <v>72</v>
      </c>
      <c r="H9" s="5" t="s">
        <v>73</v>
      </c>
      <c r="I9" s="3" t="s">
        <v>74</v>
      </c>
      <c r="J9" s="6" t="s">
        <v>54</v>
      </c>
      <c r="K9" s="6" t="s">
        <v>75</v>
      </c>
      <c r="L9" s="3" t="s">
        <v>27</v>
      </c>
      <c r="M9" s="7">
        <v>46204.0</v>
      </c>
      <c r="N9" s="3" t="s">
        <v>28</v>
      </c>
      <c r="O9" s="5"/>
      <c r="P9" s="3" t="s">
        <v>29</v>
      </c>
    </row>
    <row r="10">
      <c r="A10" s="3" t="s">
        <v>16</v>
      </c>
      <c r="B10" s="3" t="s">
        <v>17</v>
      </c>
      <c r="C10" s="3" t="s">
        <v>76</v>
      </c>
      <c r="D10" s="3" t="s">
        <v>77</v>
      </c>
      <c r="E10" s="3" t="s">
        <v>20</v>
      </c>
      <c r="F10" s="5" t="s">
        <v>78</v>
      </c>
      <c r="G10" s="3" t="s">
        <v>79</v>
      </c>
      <c r="H10" s="5" t="s">
        <v>73</v>
      </c>
      <c r="I10" s="3" t="s">
        <v>80</v>
      </c>
      <c r="J10" s="6" t="s">
        <v>54</v>
      </c>
      <c r="K10" s="6" t="s">
        <v>81</v>
      </c>
      <c r="L10" s="3" t="s">
        <v>27</v>
      </c>
      <c r="M10" s="7">
        <v>46204.0</v>
      </c>
      <c r="N10" s="3" t="s">
        <v>28</v>
      </c>
      <c r="O10" s="4"/>
      <c r="P10" s="3" t="s">
        <v>29</v>
      </c>
    </row>
    <row r="11">
      <c r="A11" s="8" t="s">
        <v>82</v>
      </c>
      <c r="B11" s="8" t="s">
        <v>83</v>
      </c>
      <c r="C11" s="8" t="s">
        <v>84</v>
      </c>
      <c r="D11" s="8" t="s">
        <v>85</v>
      </c>
      <c r="E11" s="8" t="s">
        <v>20</v>
      </c>
      <c r="F11" s="9" t="s">
        <v>86</v>
      </c>
      <c r="G11" s="8" t="s">
        <v>87</v>
      </c>
      <c r="H11" s="9" t="s">
        <v>73</v>
      </c>
      <c r="I11" s="8" t="s">
        <v>88</v>
      </c>
      <c r="J11" s="10" t="s">
        <v>25</v>
      </c>
      <c r="K11" s="8"/>
      <c r="L11" s="8" t="s">
        <v>27</v>
      </c>
      <c r="M11" s="11">
        <v>46204.0</v>
      </c>
      <c r="N11" s="8" t="s">
        <v>28</v>
      </c>
      <c r="O11" s="12"/>
      <c r="P11" s="8" t="s">
        <v>29</v>
      </c>
    </row>
    <row r="12">
      <c r="A12" s="8" t="s">
        <v>82</v>
      </c>
      <c r="B12" s="8" t="s">
        <v>83</v>
      </c>
      <c r="C12" s="8" t="s">
        <v>89</v>
      </c>
      <c r="D12" s="8" t="s">
        <v>90</v>
      </c>
      <c r="E12" s="8" t="s">
        <v>20</v>
      </c>
      <c r="F12" s="12" t="s">
        <v>91</v>
      </c>
      <c r="G12" s="8" t="s">
        <v>92</v>
      </c>
      <c r="H12" s="9" t="s">
        <v>93</v>
      </c>
      <c r="I12" s="8" t="s">
        <v>94</v>
      </c>
      <c r="J12" s="10" t="s">
        <v>25</v>
      </c>
      <c r="K12" s="8"/>
      <c r="L12" s="8" t="s">
        <v>27</v>
      </c>
      <c r="M12" s="11">
        <v>46204.0</v>
      </c>
      <c r="N12" s="8" t="s">
        <v>28</v>
      </c>
      <c r="O12" s="9" t="s">
        <v>95</v>
      </c>
      <c r="P12" s="8" t="s">
        <v>29</v>
      </c>
    </row>
    <row r="13">
      <c r="A13" s="8" t="s">
        <v>82</v>
      </c>
      <c r="B13" s="8" t="s">
        <v>83</v>
      </c>
      <c r="C13" s="8" t="s">
        <v>96</v>
      </c>
      <c r="D13" s="8" t="s">
        <v>97</v>
      </c>
      <c r="E13" s="8" t="s">
        <v>20</v>
      </c>
      <c r="F13" s="12" t="s">
        <v>98</v>
      </c>
      <c r="G13" s="8" t="s">
        <v>72</v>
      </c>
      <c r="H13" s="9" t="s">
        <v>99</v>
      </c>
      <c r="I13" s="8" t="s">
        <v>100</v>
      </c>
      <c r="J13" s="10" t="s">
        <v>25</v>
      </c>
      <c r="K13" s="8"/>
      <c r="L13" s="8" t="s">
        <v>27</v>
      </c>
      <c r="M13" s="11">
        <v>46204.0</v>
      </c>
      <c r="N13" s="8" t="s">
        <v>28</v>
      </c>
      <c r="O13" s="12"/>
      <c r="P13" s="8" t="s">
        <v>29</v>
      </c>
    </row>
    <row r="14">
      <c r="A14" s="8" t="s">
        <v>82</v>
      </c>
      <c r="B14" s="8" t="s">
        <v>83</v>
      </c>
      <c r="C14" s="8" t="s">
        <v>101</v>
      </c>
      <c r="D14" s="8" t="s">
        <v>102</v>
      </c>
      <c r="E14" s="8" t="s">
        <v>20</v>
      </c>
      <c r="F14" s="12" t="s">
        <v>103</v>
      </c>
      <c r="G14" s="8" t="s">
        <v>72</v>
      </c>
      <c r="H14" s="9" t="s">
        <v>73</v>
      </c>
      <c r="I14" s="8" t="s">
        <v>104</v>
      </c>
      <c r="J14" s="10" t="s">
        <v>25</v>
      </c>
      <c r="K14" s="8"/>
      <c r="L14" s="8" t="s">
        <v>27</v>
      </c>
      <c r="M14" s="11">
        <v>46204.0</v>
      </c>
      <c r="N14" s="8" t="s">
        <v>28</v>
      </c>
      <c r="O14" s="12"/>
      <c r="P14" s="8" t="s">
        <v>29</v>
      </c>
    </row>
    <row r="15">
      <c r="A15" s="8" t="s">
        <v>82</v>
      </c>
      <c r="B15" s="8" t="s">
        <v>83</v>
      </c>
      <c r="C15" s="8" t="s">
        <v>105</v>
      </c>
      <c r="D15" s="8" t="s">
        <v>106</v>
      </c>
      <c r="E15" s="8" t="s">
        <v>20</v>
      </c>
      <c r="F15" s="12" t="s">
        <v>107</v>
      </c>
      <c r="G15" s="8" t="s">
        <v>108</v>
      </c>
      <c r="H15" s="9" t="s">
        <v>73</v>
      </c>
      <c r="I15" s="8" t="s">
        <v>109</v>
      </c>
      <c r="J15" s="10" t="s">
        <v>25</v>
      </c>
      <c r="K15" s="8"/>
      <c r="L15" s="8" t="s">
        <v>27</v>
      </c>
      <c r="M15" s="11">
        <v>46204.0</v>
      </c>
      <c r="N15" s="8" t="s">
        <v>28</v>
      </c>
      <c r="O15" s="12"/>
      <c r="P15" s="8" t="s">
        <v>29</v>
      </c>
    </row>
    <row r="16">
      <c r="A16" s="8" t="s">
        <v>82</v>
      </c>
      <c r="B16" s="8" t="s">
        <v>83</v>
      </c>
      <c r="C16" s="8" t="s">
        <v>110</v>
      </c>
      <c r="D16" s="8" t="s">
        <v>111</v>
      </c>
      <c r="E16" s="8" t="s">
        <v>20</v>
      </c>
      <c r="F16" s="12" t="s">
        <v>112</v>
      </c>
      <c r="G16" s="8" t="s">
        <v>113</v>
      </c>
      <c r="H16" s="9" t="s">
        <v>114</v>
      </c>
      <c r="I16" s="8" t="s">
        <v>115</v>
      </c>
      <c r="J16" s="10" t="s">
        <v>54</v>
      </c>
      <c r="K16" s="10" t="s">
        <v>116</v>
      </c>
      <c r="L16" s="8" t="s">
        <v>27</v>
      </c>
      <c r="M16" s="11">
        <v>46204.0</v>
      </c>
      <c r="N16" s="8" t="s">
        <v>28</v>
      </c>
      <c r="O16" s="9" t="s">
        <v>117</v>
      </c>
      <c r="P16" s="8" t="s">
        <v>29</v>
      </c>
    </row>
    <row r="17">
      <c r="A17" s="8" t="s">
        <v>82</v>
      </c>
      <c r="B17" s="8" t="s">
        <v>83</v>
      </c>
      <c r="C17" s="8" t="s">
        <v>118</v>
      </c>
      <c r="D17" s="8" t="s">
        <v>119</v>
      </c>
      <c r="E17" s="8" t="s">
        <v>20</v>
      </c>
      <c r="F17" s="12" t="s">
        <v>120</v>
      </c>
      <c r="G17" s="8" t="s">
        <v>113</v>
      </c>
      <c r="H17" s="9" t="s">
        <v>73</v>
      </c>
      <c r="I17" s="8" t="s">
        <v>121</v>
      </c>
      <c r="J17" s="10" t="s">
        <v>54</v>
      </c>
      <c r="K17" s="10" t="s">
        <v>116</v>
      </c>
      <c r="L17" s="8" t="s">
        <v>27</v>
      </c>
      <c r="M17" s="11">
        <v>46204.0</v>
      </c>
      <c r="N17" s="8" t="s">
        <v>28</v>
      </c>
      <c r="O17" s="9" t="s">
        <v>122</v>
      </c>
      <c r="P17" s="8" t="s">
        <v>29</v>
      </c>
    </row>
    <row r="18">
      <c r="A18" s="8" t="s">
        <v>82</v>
      </c>
      <c r="B18" s="8" t="s">
        <v>83</v>
      </c>
      <c r="C18" s="8" t="s">
        <v>123</v>
      </c>
      <c r="D18" s="8" t="s">
        <v>124</v>
      </c>
      <c r="E18" s="8" t="s">
        <v>20</v>
      </c>
      <c r="F18" s="12" t="s">
        <v>125</v>
      </c>
      <c r="G18" s="8" t="s">
        <v>126</v>
      </c>
      <c r="H18" s="9" t="s">
        <v>127</v>
      </c>
      <c r="I18" s="8" t="s">
        <v>128</v>
      </c>
      <c r="J18" s="10" t="s">
        <v>25</v>
      </c>
      <c r="K18" s="8"/>
      <c r="L18" s="8" t="s">
        <v>27</v>
      </c>
      <c r="M18" s="11">
        <v>46204.0</v>
      </c>
      <c r="N18" s="8" t="s">
        <v>28</v>
      </c>
      <c r="O18" s="12"/>
      <c r="P18" s="8" t="s">
        <v>29</v>
      </c>
    </row>
    <row r="19">
      <c r="A19" s="8" t="s">
        <v>82</v>
      </c>
      <c r="B19" s="8" t="s">
        <v>83</v>
      </c>
      <c r="C19" s="8" t="s">
        <v>129</v>
      </c>
      <c r="D19" s="8" t="s">
        <v>130</v>
      </c>
      <c r="E19" s="8" t="s">
        <v>20</v>
      </c>
      <c r="F19" s="12" t="s">
        <v>131</v>
      </c>
      <c r="G19" s="8" t="s">
        <v>132</v>
      </c>
      <c r="H19" s="9" t="s">
        <v>133</v>
      </c>
      <c r="I19" s="8" t="s">
        <v>134</v>
      </c>
      <c r="J19" s="10" t="s">
        <v>25</v>
      </c>
      <c r="K19" s="8"/>
      <c r="L19" s="8" t="s">
        <v>27</v>
      </c>
      <c r="M19" s="11">
        <v>46204.0</v>
      </c>
      <c r="N19" s="8" t="s">
        <v>28</v>
      </c>
      <c r="O19" s="12"/>
      <c r="P19" s="8" t="s">
        <v>29</v>
      </c>
    </row>
    <row r="20">
      <c r="A20" s="8" t="s">
        <v>82</v>
      </c>
      <c r="B20" s="8" t="s">
        <v>83</v>
      </c>
      <c r="C20" s="8" t="s">
        <v>135</v>
      </c>
      <c r="D20" s="8" t="s">
        <v>136</v>
      </c>
      <c r="E20" s="8" t="s">
        <v>20</v>
      </c>
      <c r="F20" s="12" t="s">
        <v>137</v>
      </c>
      <c r="G20" s="8" t="s">
        <v>138</v>
      </c>
      <c r="H20" s="9" t="s">
        <v>73</v>
      </c>
      <c r="I20" s="8" t="s">
        <v>139</v>
      </c>
      <c r="J20" s="10" t="s">
        <v>25</v>
      </c>
      <c r="K20" s="8"/>
      <c r="L20" s="8" t="s">
        <v>27</v>
      </c>
      <c r="M20" s="11">
        <v>46204.0</v>
      </c>
      <c r="N20" s="8" t="s">
        <v>28</v>
      </c>
      <c r="O20" s="12"/>
      <c r="P20" s="8" t="s">
        <v>29</v>
      </c>
    </row>
    <row r="21" ht="15.75" customHeight="1">
      <c r="A21" s="13" t="s">
        <v>140</v>
      </c>
      <c r="B21" s="13" t="s">
        <v>141</v>
      </c>
      <c r="C21" s="13" t="s">
        <v>142</v>
      </c>
      <c r="D21" s="13" t="s">
        <v>143</v>
      </c>
      <c r="E21" s="13" t="s">
        <v>20</v>
      </c>
      <c r="F21" s="14" t="s">
        <v>144</v>
      </c>
      <c r="G21" s="13" t="s">
        <v>145</v>
      </c>
      <c r="H21" s="15" t="s">
        <v>146</v>
      </c>
      <c r="I21" s="13" t="s">
        <v>147</v>
      </c>
      <c r="J21" s="16" t="s">
        <v>25</v>
      </c>
      <c r="K21" s="13"/>
      <c r="L21" s="13" t="s">
        <v>27</v>
      </c>
      <c r="M21" s="17">
        <v>46204.0</v>
      </c>
      <c r="N21" s="13" t="s">
        <v>28</v>
      </c>
      <c r="O21" s="15" t="s">
        <v>148</v>
      </c>
      <c r="P21" s="13" t="s">
        <v>29</v>
      </c>
    </row>
    <row r="22" ht="15.75" customHeight="1">
      <c r="A22" s="13" t="s">
        <v>140</v>
      </c>
      <c r="B22" s="13" t="s">
        <v>141</v>
      </c>
      <c r="C22" s="13" t="s">
        <v>149</v>
      </c>
      <c r="D22" s="13" t="s">
        <v>150</v>
      </c>
      <c r="E22" s="13" t="s">
        <v>20</v>
      </c>
      <c r="F22" s="14" t="s">
        <v>151</v>
      </c>
      <c r="G22" s="13" t="s">
        <v>72</v>
      </c>
      <c r="H22" s="15" t="s">
        <v>152</v>
      </c>
      <c r="I22" s="13" t="s">
        <v>153</v>
      </c>
      <c r="J22" s="16" t="s">
        <v>25</v>
      </c>
      <c r="K22" s="16" t="s">
        <v>154</v>
      </c>
      <c r="L22" s="13" t="s">
        <v>27</v>
      </c>
      <c r="M22" s="17">
        <v>46204.0</v>
      </c>
      <c r="N22" s="13" t="s">
        <v>28</v>
      </c>
      <c r="O22" s="14"/>
      <c r="P22" s="13" t="s">
        <v>29</v>
      </c>
    </row>
    <row r="23" ht="15.75" customHeight="1">
      <c r="A23" s="13" t="s">
        <v>140</v>
      </c>
      <c r="B23" s="13" t="s">
        <v>141</v>
      </c>
      <c r="C23" s="13" t="s">
        <v>155</v>
      </c>
      <c r="D23" s="13" t="s">
        <v>156</v>
      </c>
      <c r="E23" s="13" t="s">
        <v>20</v>
      </c>
      <c r="F23" s="14" t="s">
        <v>157</v>
      </c>
      <c r="G23" s="13" t="s">
        <v>158</v>
      </c>
      <c r="H23" s="15" t="s">
        <v>159</v>
      </c>
      <c r="I23" s="13" t="s">
        <v>160</v>
      </c>
      <c r="J23" s="16" t="s">
        <v>25</v>
      </c>
      <c r="K23" s="13"/>
      <c r="L23" s="13" t="s">
        <v>27</v>
      </c>
      <c r="M23" s="17">
        <v>46204.0</v>
      </c>
      <c r="N23" s="13" t="s">
        <v>28</v>
      </c>
      <c r="O23" s="14"/>
      <c r="P23" s="13" t="s">
        <v>29</v>
      </c>
    </row>
    <row r="24" ht="15.75" customHeight="1">
      <c r="A24" s="13" t="s">
        <v>140</v>
      </c>
      <c r="B24" s="13" t="s">
        <v>141</v>
      </c>
      <c r="C24" s="13" t="s">
        <v>161</v>
      </c>
      <c r="D24" s="13" t="s">
        <v>162</v>
      </c>
      <c r="E24" s="13" t="s">
        <v>20</v>
      </c>
      <c r="F24" s="14" t="s">
        <v>163</v>
      </c>
      <c r="G24" s="13" t="s">
        <v>164</v>
      </c>
      <c r="H24" s="15" t="s">
        <v>73</v>
      </c>
      <c r="I24" s="13" t="s">
        <v>165</v>
      </c>
      <c r="J24" s="16" t="s">
        <v>166</v>
      </c>
      <c r="K24" s="16" t="s">
        <v>167</v>
      </c>
      <c r="L24" s="13" t="s">
        <v>27</v>
      </c>
      <c r="M24" s="17">
        <v>46204.0</v>
      </c>
      <c r="N24" s="13" t="s">
        <v>28</v>
      </c>
      <c r="O24" s="15" t="s">
        <v>168</v>
      </c>
      <c r="P24" s="13" t="s">
        <v>29</v>
      </c>
    </row>
    <row r="25" ht="15.75" customHeight="1">
      <c r="A25" s="13" t="s">
        <v>140</v>
      </c>
      <c r="B25" s="13" t="s">
        <v>141</v>
      </c>
      <c r="C25" s="13" t="s">
        <v>169</v>
      </c>
      <c r="D25" s="13" t="s">
        <v>170</v>
      </c>
      <c r="E25" s="13" t="s">
        <v>20</v>
      </c>
      <c r="F25" s="14" t="s">
        <v>171</v>
      </c>
      <c r="G25" s="13" t="s">
        <v>79</v>
      </c>
      <c r="H25" s="15" t="s">
        <v>73</v>
      </c>
      <c r="I25" s="13" t="s">
        <v>172</v>
      </c>
      <c r="J25" s="16" t="s">
        <v>166</v>
      </c>
      <c r="K25" s="16" t="s">
        <v>167</v>
      </c>
      <c r="L25" s="13" t="s">
        <v>27</v>
      </c>
      <c r="M25" s="17">
        <v>46204.0</v>
      </c>
      <c r="N25" s="13" t="s">
        <v>28</v>
      </c>
      <c r="O25" s="15" t="s">
        <v>168</v>
      </c>
      <c r="P25" s="13" t="s">
        <v>29</v>
      </c>
    </row>
    <row r="26" ht="15.75" customHeight="1">
      <c r="A26" s="18" t="s">
        <v>173</v>
      </c>
      <c r="B26" s="18" t="s">
        <v>174</v>
      </c>
      <c r="C26" s="18" t="s">
        <v>175</v>
      </c>
      <c r="D26" s="18" t="s">
        <v>176</v>
      </c>
      <c r="E26" s="18" t="s">
        <v>20</v>
      </c>
      <c r="F26" s="19" t="s">
        <v>177</v>
      </c>
      <c r="G26" s="18" t="s">
        <v>178</v>
      </c>
      <c r="H26" s="20" t="s">
        <v>73</v>
      </c>
      <c r="I26" s="18" t="s">
        <v>179</v>
      </c>
      <c r="J26" s="21" t="s">
        <v>25</v>
      </c>
      <c r="K26" s="18"/>
      <c r="L26" s="18" t="s">
        <v>27</v>
      </c>
      <c r="M26" s="22">
        <v>46204.0</v>
      </c>
      <c r="N26" s="18" t="s">
        <v>28</v>
      </c>
      <c r="O26" s="19"/>
      <c r="P26" s="18" t="s">
        <v>29</v>
      </c>
    </row>
    <row r="27" ht="15.75" customHeight="1">
      <c r="A27" s="18" t="s">
        <v>173</v>
      </c>
      <c r="B27" s="18" t="s">
        <v>174</v>
      </c>
      <c r="C27" s="18" t="s">
        <v>180</v>
      </c>
      <c r="D27" s="18" t="s">
        <v>181</v>
      </c>
      <c r="E27" s="18" t="s">
        <v>20</v>
      </c>
      <c r="F27" s="19" t="s">
        <v>182</v>
      </c>
      <c r="G27" s="18" t="s">
        <v>183</v>
      </c>
      <c r="H27" s="20" t="s">
        <v>73</v>
      </c>
      <c r="I27" s="18" t="s">
        <v>184</v>
      </c>
      <c r="J27" s="21" t="s">
        <v>25</v>
      </c>
      <c r="K27" s="18"/>
      <c r="L27" s="18" t="s">
        <v>27</v>
      </c>
      <c r="M27" s="22">
        <v>46204.0</v>
      </c>
      <c r="N27" s="18" t="s">
        <v>28</v>
      </c>
      <c r="O27" s="19"/>
      <c r="P27" s="18" t="s">
        <v>29</v>
      </c>
    </row>
    <row r="28" ht="15.75" customHeight="1">
      <c r="A28" s="18" t="s">
        <v>173</v>
      </c>
      <c r="B28" s="18" t="s">
        <v>174</v>
      </c>
      <c r="C28" s="18" t="s">
        <v>185</v>
      </c>
      <c r="D28" s="18" t="s">
        <v>186</v>
      </c>
      <c r="E28" s="18" t="s">
        <v>20</v>
      </c>
      <c r="F28" s="19" t="s">
        <v>187</v>
      </c>
      <c r="G28" s="18" t="s">
        <v>178</v>
      </c>
      <c r="H28" s="20" t="s">
        <v>73</v>
      </c>
      <c r="I28" s="18" t="s">
        <v>188</v>
      </c>
      <c r="J28" s="21" t="s">
        <v>25</v>
      </c>
      <c r="K28" s="18"/>
      <c r="L28" s="18" t="s">
        <v>27</v>
      </c>
      <c r="M28" s="22">
        <v>46204.0</v>
      </c>
      <c r="N28" s="18" t="s">
        <v>28</v>
      </c>
      <c r="O28" s="19"/>
      <c r="P28" s="18" t="s">
        <v>29</v>
      </c>
    </row>
    <row r="29" ht="15.75" customHeight="1">
      <c r="A29" s="18" t="s">
        <v>173</v>
      </c>
      <c r="B29" s="18" t="s">
        <v>174</v>
      </c>
      <c r="C29" s="18" t="s">
        <v>189</v>
      </c>
      <c r="D29" s="18" t="s">
        <v>190</v>
      </c>
      <c r="E29" s="18" t="s">
        <v>20</v>
      </c>
      <c r="F29" s="19" t="s">
        <v>191</v>
      </c>
      <c r="G29" s="18" t="s">
        <v>79</v>
      </c>
      <c r="H29" s="20" t="s">
        <v>73</v>
      </c>
      <c r="I29" s="18" t="s">
        <v>192</v>
      </c>
      <c r="J29" s="21" t="s">
        <v>25</v>
      </c>
      <c r="K29" s="18"/>
      <c r="L29" s="18" t="s">
        <v>27</v>
      </c>
      <c r="M29" s="22">
        <v>46204.0</v>
      </c>
      <c r="N29" s="18" t="s">
        <v>28</v>
      </c>
      <c r="O29" s="19"/>
      <c r="P29" s="18" t="s">
        <v>29</v>
      </c>
    </row>
    <row r="30" ht="15.75" customHeight="1">
      <c r="A30" s="23" t="s">
        <v>193</v>
      </c>
      <c r="B30" s="23" t="s">
        <v>194</v>
      </c>
      <c r="C30" s="23" t="s">
        <v>195</v>
      </c>
      <c r="D30" s="23" t="s">
        <v>196</v>
      </c>
      <c r="E30" s="23" t="s">
        <v>20</v>
      </c>
      <c r="F30" s="24" t="s">
        <v>197</v>
      </c>
      <c r="G30" s="23" t="s">
        <v>198</v>
      </c>
      <c r="H30" s="25" t="s">
        <v>73</v>
      </c>
      <c r="I30" s="23" t="s">
        <v>199</v>
      </c>
      <c r="J30" s="26" t="s">
        <v>25</v>
      </c>
      <c r="K30" s="26"/>
      <c r="L30" s="23" t="s">
        <v>27</v>
      </c>
      <c r="M30" s="27">
        <v>46204.0</v>
      </c>
      <c r="N30" s="23" t="s">
        <v>28</v>
      </c>
      <c r="O30" s="25" t="s">
        <v>95</v>
      </c>
      <c r="P30" s="23" t="s">
        <v>29</v>
      </c>
    </row>
    <row r="31" ht="15.75" customHeight="1">
      <c r="A31" s="23" t="s">
        <v>193</v>
      </c>
      <c r="B31" s="23" t="s">
        <v>194</v>
      </c>
      <c r="C31" s="23" t="s">
        <v>200</v>
      </c>
      <c r="D31" s="23" t="s">
        <v>201</v>
      </c>
      <c r="E31" s="23" t="s">
        <v>20</v>
      </c>
      <c r="F31" s="24" t="s">
        <v>202</v>
      </c>
      <c r="G31" s="23" t="s">
        <v>203</v>
      </c>
      <c r="H31" s="25" t="s">
        <v>73</v>
      </c>
      <c r="I31" s="23" t="s">
        <v>204</v>
      </c>
      <c r="J31" s="26" t="s">
        <v>25</v>
      </c>
      <c r="K31" s="23"/>
      <c r="L31" s="23" t="s">
        <v>27</v>
      </c>
      <c r="M31" s="27">
        <v>46204.0</v>
      </c>
      <c r="N31" s="23" t="s">
        <v>28</v>
      </c>
      <c r="O31" s="25" t="s">
        <v>95</v>
      </c>
      <c r="P31" s="23" t="s">
        <v>29</v>
      </c>
    </row>
    <row r="32" ht="15.75" customHeight="1">
      <c r="A32" s="23" t="s">
        <v>193</v>
      </c>
      <c r="B32" s="23" t="s">
        <v>194</v>
      </c>
      <c r="C32" s="23" t="s">
        <v>205</v>
      </c>
      <c r="D32" s="23" t="s">
        <v>206</v>
      </c>
      <c r="E32" s="23" t="s">
        <v>20</v>
      </c>
      <c r="F32" s="24" t="s">
        <v>207</v>
      </c>
      <c r="G32" s="23" t="s">
        <v>208</v>
      </c>
      <c r="H32" s="25" t="s">
        <v>73</v>
      </c>
      <c r="I32" s="23" t="s">
        <v>209</v>
      </c>
      <c r="J32" s="26" t="s">
        <v>25</v>
      </c>
      <c r="K32" s="23"/>
      <c r="L32" s="23" t="s">
        <v>27</v>
      </c>
      <c r="M32" s="27">
        <v>46204.0</v>
      </c>
      <c r="N32" s="23" t="s">
        <v>28</v>
      </c>
      <c r="O32" s="24"/>
      <c r="P32" s="23" t="s">
        <v>29</v>
      </c>
    </row>
    <row r="33" ht="15.75" customHeight="1">
      <c r="A33" s="23" t="s">
        <v>193</v>
      </c>
      <c r="B33" s="23" t="s">
        <v>194</v>
      </c>
      <c r="C33" s="23" t="s">
        <v>210</v>
      </c>
      <c r="D33" s="23" t="s">
        <v>211</v>
      </c>
      <c r="E33" s="23" t="s">
        <v>20</v>
      </c>
      <c r="F33" s="24" t="s">
        <v>212</v>
      </c>
      <c r="G33" s="23" t="s">
        <v>213</v>
      </c>
      <c r="H33" s="25" t="s">
        <v>73</v>
      </c>
      <c r="I33" s="23" t="s">
        <v>214</v>
      </c>
      <c r="J33" s="26" t="s">
        <v>25</v>
      </c>
      <c r="K33" s="23"/>
      <c r="L33" s="23" t="s">
        <v>27</v>
      </c>
      <c r="M33" s="27">
        <v>46204.0</v>
      </c>
      <c r="N33" s="23" t="s">
        <v>28</v>
      </c>
      <c r="O33" s="24"/>
      <c r="P33" s="23" t="s">
        <v>29</v>
      </c>
    </row>
    <row r="34" ht="15.75" customHeight="1">
      <c r="A34" s="23" t="s">
        <v>215</v>
      </c>
      <c r="B34" s="23" t="s">
        <v>216</v>
      </c>
      <c r="C34" s="23" t="s">
        <v>217</v>
      </c>
      <c r="D34" s="23" t="s">
        <v>218</v>
      </c>
      <c r="E34" s="23" t="s">
        <v>20</v>
      </c>
      <c r="F34" s="24" t="s">
        <v>219</v>
      </c>
      <c r="G34" s="23" t="s">
        <v>220</v>
      </c>
      <c r="H34" s="25" t="s">
        <v>73</v>
      </c>
      <c r="I34" s="23" t="s">
        <v>221</v>
      </c>
      <c r="J34" s="26" t="s">
        <v>25</v>
      </c>
      <c r="K34" s="23"/>
      <c r="L34" s="23" t="s">
        <v>27</v>
      </c>
      <c r="M34" s="27">
        <v>46204.0</v>
      </c>
      <c r="N34" s="23" t="s">
        <v>28</v>
      </c>
      <c r="O34" s="24"/>
      <c r="P34" s="23" t="s">
        <v>222</v>
      </c>
    </row>
    <row r="35" ht="15.75" customHeight="1">
      <c r="A35" s="23" t="s">
        <v>215</v>
      </c>
      <c r="B35" s="23" t="s">
        <v>216</v>
      </c>
      <c r="C35" s="23" t="s">
        <v>223</v>
      </c>
      <c r="D35" s="23" t="s">
        <v>224</v>
      </c>
      <c r="E35" s="23" t="s">
        <v>20</v>
      </c>
      <c r="F35" s="24" t="s">
        <v>225</v>
      </c>
      <c r="G35" s="23" t="s">
        <v>220</v>
      </c>
      <c r="H35" s="25" t="s">
        <v>73</v>
      </c>
      <c r="I35" s="23" t="s">
        <v>226</v>
      </c>
      <c r="J35" s="26" t="s">
        <v>25</v>
      </c>
      <c r="K35" s="23"/>
      <c r="L35" s="23" t="s">
        <v>27</v>
      </c>
      <c r="M35" s="27">
        <v>46204.0</v>
      </c>
      <c r="N35" s="23" t="s">
        <v>28</v>
      </c>
      <c r="O35" s="24"/>
      <c r="P35" s="23" t="s">
        <v>222</v>
      </c>
    </row>
    <row r="36" ht="15.75" customHeight="1">
      <c r="A36" s="23" t="s">
        <v>215</v>
      </c>
      <c r="B36" s="23" t="s">
        <v>216</v>
      </c>
      <c r="C36" s="23" t="s">
        <v>227</v>
      </c>
      <c r="D36" s="23" t="s">
        <v>228</v>
      </c>
      <c r="E36" s="23" t="s">
        <v>20</v>
      </c>
      <c r="F36" s="24" t="s">
        <v>229</v>
      </c>
      <c r="G36" s="23" t="s">
        <v>230</v>
      </c>
      <c r="H36" s="25" t="s">
        <v>73</v>
      </c>
      <c r="I36" s="23" t="s">
        <v>231</v>
      </c>
      <c r="J36" s="26" t="s">
        <v>25</v>
      </c>
      <c r="K36" s="23"/>
      <c r="L36" s="23" t="s">
        <v>27</v>
      </c>
      <c r="M36" s="27">
        <v>46204.0</v>
      </c>
      <c r="N36" s="23" t="s">
        <v>28</v>
      </c>
      <c r="O36" s="24"/>
      <c r="P36" s="23" t="s">
        <v>222</v>
      </c>
    </row>
    <row r="37" ht="15.75" customHeight="1">
      <c r="A37" s="23" t="s">
        <v>215</v>
      </c>
      <c r="B37" s="23" t="s">
        <v>216</v>
      </c>
      <c r="C37" s="23" t="s">
        <v>232</v>
      </c>
      <c r="D37" s="23" t="s">
        <v>233</v>
      </c>
      <c r="E37" s="23" t="s">
        <v>20</v>
      </c>
      <c r="F37" s="24" t="s">
        <v>234</v>
      </c>
      <c r="G37" s="23" t="s">
        <v>235</v>
      </c>
      <c r="H37" s="25" t="s">
        <v>73</v>
      </c>
      <c r="I37" s="23" t="s">
        <v>236</v>
      </c>
      <c r="J37" s="26" t="s">
        <v>25</v>
      </c>
      <c r="K37" s="23"/>
      <c r="L37" s="23" t="s">
        <v>27</v>
      </c>
      <c r="M37" s="27">
        <v>46204.0</v>
      </c>
      <c r="N37" s="23" t="s">
        <v>28</v>
      </c>
      <c r="O37" s="24"/>
      <c r="P37" s="23" t="s">
        <v>222</v>
      </c>
    </row>
    <row r="38" ht="15.75" customHeight="1">
      <c r="A38" s="28" t="s">
        <v>237</v>
      </c>
      <c r="B38" s="28" t="s">
        <v>238</v>
      </c>
      <c r="C38" s="28" t="s">
        <v>239</v>
      </c>
      <c r="D38" s="28" t="s">
        <v>240</v>
      </c>
      <c r="E38" s="28" t="s">
        <v>20</v>
      </c>
      <c r="F38" s="29" t="s">
        <v>241</v>
      </c>
      <c r="G38" s="28" t="s">
        <v>242</v>
      </c>
      <c r="H38" s="30" t="s">
        <v>73</v>
      </c>
      <c r="I38" s="28" t="s">
        <v>243</v>
      </c>
      <c r="J38" s="31" t="s">
        <v>25</v>
      </c>
      <c r="K38" s="28"/>
      <c r="L38" s="28" t="s">
        <v>27</v>
      </c>
      <c r="M38" s="32">
        <v>46204.0</v>
      </c>
      <c r="N38" s="28" t="s">
        <v>28</v>
      </c>
      <c r="O38" s="29"/>
      <c r="P38" s="28" t="s">
        <v>29</v>
      </c>
    </row>
    <row r="39" ht="15.75" customHeight="1">
      <c r="A39" s="28" t="s">
        <v>237</v>
      </c>
      <c r="B39" s="28" t="s">
        <v>238</v>
      </c>
      <c r="C39" s="28" t="s">
        <v>244</v>
      </c>
      <c r="D39" s="28" t="s">
        <v>245</v>
      </c>
      <c r="E39" s="28" t="s">
        <v>20</v>
      </c>
      <c r="F39" s="29" t="s">
        <v>246</v>
      </c>
      <c r="G39" s="28" t="s">
        <v>247</v>
      </c>
      <c r="H39" s="30" t="s">
        <v>73</v>
      </c>
      <c r="I39" s="28" t="s">
        <v>248</v>
      </c>
      <c r="J39" s="31" t="s">
        <v>25</v>
      </c>
      <c r="K39" s="28"/>
      <c r="L39" s="28" t="s">
        <v>27</v>
      </c>
      <c r="M39" s="32">
        <v>46204.0</v>
      </c>
      <c r="N39" s="28" t="s">
        <v>28</v>
      </c>
      <c r="O39" s="29"/>
      <c r="P39" s="28" t="s">
        <v>29</v>
      </c>
    </row>
    <row r="40" ht="15.75" customHeight="1">
      <c r="A40" s="28" t="s">
        <v>237</v>
      </c>
      <c r="B40" s="28" t="s">
        <v>238</v>
      </c>
      <c r="C40" s="28" t="s">
        <v>249</v>
      </c>
      <c r="D40" s="28" t="s">
        <v>250</v>
      </c>
      <c r="E40" s="28" t="s">
        <v>20</v>
      </c>
      <c r="F40" s="29" t="s">
        <v>251</v>
      </c>
      <c r="G40" s="28" t="s">
        <v>73</v>
      </c>
      <c r="H40" s="30" t="s">
        <v>73</v>
      </c>
      <c r="I40" s="28" t="s">
        <v>252</v>
      </c>
      <c r="J40" s="31" t="s">
        <v>25</v>
      </c>
      <c r="K40" s="28"/>
      <c r="L40" s="28" t="s">
        <v>27</v>
      </c>
      <c r="M40" s="32">
        <v>46204.0</v>
      </c>
      <c r="N40" s="28" t="s">
        <v>28</v>
      </c>
      <c r="O40" s="29"/>
      <c r="P40" s="28" t="s">
        <v>29</v>
      </c>
    </row>
    <row r="41" ht="15.75" customHeight="1">
      <c r="A41" s="33" t="s">
        <v>253</v>
      </c>
      <c r="B41" s="33" t="s">
        <v>254</v>
      </c>
      <c r="C41" s="33" t="s">
        <v>255</v>
      </c>
      <c r="D41" s="33" t="s">
        <v>256</v>
      </c>
      <c r="E41" s="33" t="s">
        <v>20</v>
      </c>
      <c r="F41" s="34" t="s">
        <v>257</v>
      </c>
      <c r="G41" s="33" t="s">
        <v>72</v>
      </c>
      <c r="H41" s="35" t="s">
        <v>73</v>
      </c>
      <c r="I41" s="33" t="s">
        <v>258</v>
      </c>
      <c r="J41" s="36" t="s">
        <v>25</v>
      </c>
      <c r="K41" s="33"/>
      <c r="L41" s="33" t="s">
        <v>27</v>
      </c>
      <c r="M41" s="37">
        <v>46204.0</v>
      </c>
      <c r="N41" s="33" t="s">
        <v>28</v>
      </c>
      <c r="O41" s="34"/>
      <c r="P41" s="33" t="s">
        <v>222</v>
      </c>
    </row>
    <row r="42" ht="15.75" customHeight="1">
      <c r="A42" s="33" t="s">
        <v>253</v>
      </c>
      <c r="B42" s="33" t="s">
        <v>254</v>
      </c>
      <c r="C42" s="33" t="s">
        <v>259</v>
      </c>
      <c r="D42" s="33" t="s">
        <v>260</v>
      </c>
      <c r="E42" s="33" t="s">
        <v>20</v>
      </c>
      <c r="F42" s="34" t="s">
        <v>261</v>
      </c>
      <c r="G42" s="33" t="s">
        <v>72</v>
      </c>
      <c r="H42" s="35" t="s">
        <v>262</v>
      </c>
      <c r="I42" s="33" t="s">
        <v>263</v>
      </c>
      <c r="J42" s="36" t="s">
        <v>25</v>
      </c>
      <c r="K42" s="33"/>
      <c r="L42" s="33" t="s">
        <v>27</v>
      </c>
      <c r="M42" s="37">
        <v>46204.0</v>
      </c>
      <c r="N42" s="33" t="s">
        <v>28</v>
      </c>
      <c r="O42" s="34"/>
      <c r="P42" s="33" t="s">
        <v>222</v>
      </c>
    </row>
    <row r="43" ht="15.75" customHeight="1">
      <c r="A43" s="33" t="s">
        <v>253</v>
      </c>
      <c r="B43" s="33" t="s">
        <v>254</v>
      </c>
      <c r="C43" s="33" t="s">
        <v>264</v>
      </c>
      <c r="D43" s="33" t="s">
        <v>265</v>
      </c>
      <c r="E43" s="33" t="s">
        <v>20</v>
      </c>
      <c r="F43" s="34" t="s">
        <v>266</v>
      </c>
      <c r="G43" s="33" t="s">
        <v>267</v>
      </c>
      <c r="H43" s="35" t="s">
        <v>268</v>
      </c>
      <c r="I43" s="33" t="s">
        <v>269</v>
      </c>
      <c r="J43" s="36" t="s">
        <v>25</v>
      </c>
      <c r="K43" s="33"/>
      <c r="L43" s="33" t="s">
        <v>27</v>
      </c>
      <c r="M43" s="37">
        <v>46204.0</v>
      </c>
      <c r="N43" s="33" t="s">
        <v>28</v>
      </c>
      <c r="O43" s="34"/>
      <c r="P43" s="33" t="s">
        <v>222</v>
      </c>
    </row>
    <row r="44" ht="15.75" customHeight="1">
      <c r="A44" s="33" t="s">
        <v>253</v>
      </c>
      <c r="B44" s="33" t="s">
        <v>254</v>
      </c>
      <c r="C44" s="33" t="s">
        <v>270</v>
      </c>
      <c r="D44" s="33" t="s">
        <v>271</v>
      </c>
      <c r="E44" s="33" t="s">
        <v>20</v>
      </c>
      <c r="F44" s="34" t="s">
        <v>272</v>
      </c>
      <c r="G44" s="33" t="s">
        <v>273</v>
      </c>
      <c r="H44" s="35" t="s">
        <v>133</v>
      </c>
      <c r="I44" s="33" t="s">
        <v>274</v>
      </c>
      <c r="J44" s="36" t="s">
        <v>25</v>
      </c>
      <c r="K44" s="33"/>
      <c r="L44" s="33" t="s">
        <v>27</v>
      </c>
      <c r="M44" s="37">
        <v>46204.0</v>
      </c>
      <c r="N44" s="33" t="s">
        <v>28</v>
      </c>
      <c r="O44" s="34"/>
      <c r="P44" s="33" t="s">
        <v>222</v>
      </c>
    </row>
    <row r="45" ht="15.75" customHeight="1">
      <c r="A45" s="33" t="s">
        <v>253</v>
      </c>
      <c r="B45" s="33" t="s">
        <v>254</v>
      </c>
      <c r="C45" s="33" t="s">
        <v>275</v>
      </c>
      <c r="D45" s="33" t="s">
        <v>276</v>
      </c>
      <c r="E45" s="33" t="s">
        <v>20</v>
      </c>
      <c r="F45" s="34" t="s">
        <v>277</v>
      </c>
      <c r="G45" s="33" t="s">
        <v>72</v>
      </c>
      <c r="H45" s="35" t="s">
        <v>278</v>
      </c>
      <c r="I45" s="33" t="s">
        <v>279</v>
      </c>
      <c r="J45" s="36" t="s">
        <v>25</v>
      </c>
      <c r="K45" s="33"/>
      <c r="L45" s="33" t="s">
        <v>27</v>
      </c>
      <c r="M45" s="37">
        <v>46204.0</v>
      </c>
      <c r="N45" s="33" t="s">
        <v>28</v>
      </c>
      <c r="O45" s="35" t="s">
        <v>280</v>
      </c>
      <c r="P45" s="33" t="s">
        <v>222</v>
      </c>
    </row>
    <row r="46" ht="15.75" customHeight="1">
      <c r="A46" s="38" t="s">
        <v>281</v>
      </c>
      <c r="B46" s="38" t="s">
        <v>282</v>
      </c>
      <c r="C46" s="38" t="s">
        <v>283</v>
      </c>
      <c r="D46" s="38" t="s">
        <v>284</v>
      </c>
      <c r="E46" s="38" t="s">
        <v>20</v>
      </c>
      <c r="F46" s="39" t="s">
        <v>285</v>
      </c>
      <c r="G46" s="38" t="s">
        <v>286</v>
      </c>
      <c r="H46" s="40" t="s">
        <v>287</v>
      </c>
      <c r="I46" s="38" t="s">
        <v>288</v>
      </c>
      <c r="J46" s="41" t="s">
        <v>166</v>
      </c>
      <c r="K46" s="41" t="s">
        <v>167</v>
      </c>
      <c r="L46" s="38" t="s">
        <v>27</v>
      </c>
      <c r="M46" s="42">
        <v>46204.0</v>
      </c>
      <c r="N46" s="38" t="s">
        <v>28</v>
      </c>
      <c r="O46" s="40" t="s">
        <v>168</v>
      </c>
      <c r="P46" s="38" t="s">
        <v>222</v>
      </c>
    </row>
    <row r="47" ht="15.75" customHeight="1">
      <c r="A47" s="38" t="s">
        <v>281</v>
      </c>
      <c r="B47" s="38" t="s">
        <v>282</v>
      </c>
      <c r="C47" s="38" t="s">
        <v>289</v>
      </c>
      <c r="D47" s="38" t="s">
        <v>290</v>
      </c>
      <c r="E47" s="38" t="s">
        <v>20</v>
      </c>
      <c r="F47" s="39" t="s">
        <v>291</v>
      </c>
      <c r="G47" s="38" t="s">
        <v>73</v>
      </c>
      <c r="H47" s="40" t="s">
        <v>292</v>
      </c>
      <c r="I47" s="38" t="s">
        <v>293</v>
      </c>
      <c r="J47" s="41" t="s">
        <v>166</v>
      </c>
      <c r="K47" s="41" t="s">
        <v>167</v>
      </c>
      <c r="L47" s="38" t="s">
        <v>27</v>
      </c>
      <c r="M47" s="42">
        <v>46204.0</v>
      </c>
      <c r="N47" s="38" t="s">
        <v>28</v>
      </c>
      <c r="O47" s="40" t="s">
        <v>168</v>
      </c>
      <c r="P47" s="38" t="s">
        <v>222</v>
      </c>
    </row>
    <row r="48" ht="15.75" customHeight="1">
      <c r="A48" s="18" t="s">
        <v>294</v>
      </c>
      <c r="B48" s="18" t="s">
        <v>295</v>
      </c>
      <c r="C48" s="18" t="s">
        <v>296</v>
      </c>
      <c r="D48" s="18" t="s">
        <v>297</v>
      </c>
      <c r="E48" s="18" t="s">
        <v>20</v>
      </c>
      <c r="F48" s="19" t="s">
        <v>298</v>
      </c>
      <c r="G48" s="18" t="s">
        <v>299</v>
      </c>
      <c r="H48" s="20" t="s">
        <v>300</v>
      </c>
      <c r="I48" s="18" t="s">
        <v>301</v>
      </c>
      <c r="J48" s="21" t="s">
        <v>25</v>
      </c>
      <c r="K48" s="18"/>
      <c r="L48" s="18" t="s">
        <v>27</v>
      </c>
      <c r="M48" s="22">
        <v>46204.0</v>
      </c>
      <c r="N48" s="18" t="s">
        <v>28</v>
      </c>
      <c r="O48" s="19"/>
      <c r="P48" s="18" t="s">
        <v>302</v>
      </c>
    </row>
    <row r="49" ht="15.75" customHeight="1">
      <c r="A49" s="18" t="s">
        <v>294</v>
      </c>
      <c r="B49" s="18" t="s">
        <v>295</v>
      </c>
      <c r="C49" s="18" t="s">
        <v>303</v>
      </c>
      <c r="D49" s="18" t="s">
        <v>304</v>
      </c>
      <c r="E49" s="18" t="s">
        <v>20</v>
      </c>
      <c r="F49" s="19" t="s">
        <v>305</v>
      </c>
      <c r="G49" s="18" t="s">
        <v>306</v>
      </c>
      <c r="H49" s="20" t="s">
        <v>73</v>
      </c>
      <c r="I49" s="18" t="s">
        <v>307</v>
      </c>
      <c r="J49" s="21" t="s">
        <v>25</v>
      </c>
      <c r="K49" s="18"/>
      <c r="L49" s="18" t="s">
        <v>27</v>
      </c>
      <c r="M49" s="22">
        <v>46204.0</v>
      </c>
      <c r="N49" s="18" t="s">
        <v>28</v>
      </c>
      <c r="O49" s="19"/>
      <c r="P49" s="18" t="s">
        <v>302</v>
      </c>
    </row>
    <row r="50" ht="15.75" customHeight="1">
      <c r="A50" s="18" t="s">
        <v>294</v>
      </c>
      <c r="B50" s="18" t="s">
        <v>295</v>
      </c>
      <c r="C50" s="18" t="s">
        <v>308</v>
      </c>
      <c r="D50" s="18" t="s">
        <v>309</v>
      </c>
      <c r="E50" s="18" t="s">
        <v>20</v>
      </c>
      <c r="F50" s="19" t="s">
        <v>310</v>
      </c>
      <c r="G50" s="18" t="s">
        <v>306</v>
      </c>
      <c r="H50" s="20" t="s">
        <v>73</v>
      </c>
      <c r="I50" s="18" t="s">
        <v>311</v>
      </c>
      <c r="J50" s="21" t="s">
        <v>25</v>
      </c>
      <c r="K50" s="18"/>
      <c r="L50" s="18" t="s">
        <v>27</v>
      </c>
      <c r="M50" s="22">
        <v>46204.0</v>
      </c>
      <c r="N50" s="18" t="s">
        <v>28</v>
      </c>
      <c r="O50" s="19"/>
      <c r="P50" s="18" t="s">
        <v>302</v>
      </c>
    </row>
    <row r="51" ht="15.75" customHeight="1">
      <c r="A51" s="18" t="s">
        <v>294</v>
      </c>
      <c r="B51" s="18" t="s">
        <v>295</v>
      </c>
      <c r="C51" s="18" t="s">
        <v>312</v>
      </c>
      <c r="D51" s="18" t="s">
        <v>313</v>
      </c>
      <c r="E51" s="18" t="s">
        <v>20</v>
      </c>
      <c r="F51" s="19" t="s">
        <v>314</v>
      </c>
      <c r="G51" s="18" t="s">
        <v>315</v>
      </c>
      <c r="H51" s="20" t="s">
        <v>73</v>
      </c>
      <c r="I51" s="18" t="s">
        <v>316</v>
      </c>
      <c r="J51" s="21" t="s">
        <v>54</v>
      </c>
      <c r="K51" s="21" t="s">
        <v>317</v>
      </c>
      <c r="L51" s="18" t="s">
        <v>27</v>
      </c>
      <c r="M51" s="22">
        <v>46204.0</v>
      </c>
      <c r="N51" s="18" t="s">
        <v>28</v>
      </c>
      <c r="O51" s="19"/>
      <c r="P51" s="18" t="s">
        <v>302</v>
      </c>
    </row>
    <row r="52" ht="15.75" customHeight="1">
      <c r="A52" s="23" t="s">
        <v>318</v>
      </c>
      <c r="B52" s="23" t="s">
        <v>319</v>
      </c>
      <c r="C52" s="23" t="s">
        <v>320</v>
      </c>
      <c r="D52" s="23" t="s">
        <v>321</v>
      </c>
      <c r="E52" s="23" t="s">
        <v>20</v>
      </c>
      <c r="F52" s="24" t="s">
        <v>322</v>
      </c>
      <c r="G52" s="23" t="s">
        <v>306</v>
      </c>
      <c r="H52" s="25" t="s">
        <v>73</v>
      </c>
      <c r="I52" s="23" t="s">
        <v>323</v>
      </c>
      <c r="J52" s="26" t="s">
        <v>25</v>
      </c>
      <c r="K52" s="23"/>
      <c r="L52" s="23" t="s">
        <v>27</v>
      </c>
      <c r="M52" s="27">
        <v>46204.0</v>
      </c>
      <c r="N52" s="23" t="s">
        <v>28</v>
      </c>
      <c r="O52" s="24"/>
      <c r="P52" s="23" t="s">
        <v>302</v>
      </c>
    </row>
    <row r="53" ht="15.75" customHeight="1">
      <c r="A53" s="23" t="s">
        <v>318</v>
      </c>
      <c r="B53" s="23" t="s">
        <v>319</v>
      </c>
      <c r="C53" s="23" t="s">
        <v>324</v>
      </c>
      <c r="D53" s="23" t="s">
        <v>325</v>
      </c>
      <c r="E53" s="23" t="s">
        <v>20</v>
      </c>
      <c r="F53" s="24" t="s">
        <v>326</v>
      </c>
      <c r="G53" s="23" t="s">
        <v>306</v>
      </c>
      <c r="H53" s="25" t="s">
        <v>73</v>
      </c>
      <c r="I53" s="23" t="s">
        <v>327</v>
      </c>
      <c r="J53" s="26" t="s">
        <v>25</v>
      </c>
      <c r="K53" s="26" t="s">
        <v>328</v>
      </c>
      <c r="L53" s="23" t="s">
        <v>27</v>
      </c>
      <c r="M53" s="27">
        <v>46204.0</v>
      </c>
      <c r="N53" s="23" t="s">
        <v>28</v>
      </c>
      <c r="O53" s="24"/>
      <c r="P53" s="23" t="s">
        <v>302</v>
      </c>
    </row>
    <row r="54" ht="15.75" customHeight="1">
      <c r="A54" s="43" t="s">
        <v>329</v>
      </c>
      <c r="B54" s="43" t="s">
        <v>330</v>
      </c>
      <c r="C54" s="43" t="s">
        <v>331</v>
      </c>
      <c r="D54" s="43" t="s">
        <v>332</v>
      </c>
      <c r="E54" s="43" t="s">
        <v>20</v>
      </c>
      <c r="F54" s="44" t="s">
        <v>333</v>
      </c>
      <c r="G54" s="43" t="s">
        <v>334</v>
      </c>
      <c r="H54" s="45" t="s">
        <v>73</v>
      </c>
      <c r="I54" s="43" t="s">
        <v>335</v>
      </c>
      <c r="J54" s="46" t="s">
        <v>166</v>
      </c>
      <c r="K54" s="46" t="s">
        <v>167</v>
      </c>
      <c r="L54" s="43" t="s">
        <v>27</v>
      </c>
      <c r="M54" s="47">
        <v>46204.0</v>
      </c>
      <c r="N54" s="43" t="s">
        <v>28</v>
      </c>
      <c r="O54" s="45" t="s">
        <v>168</v>
      </c>
      <c r="P54" s="43" t="s">
        <v>302</v>
      </c>
    </row>
    <row r="55" ht="15.75" customHeight="1">
      <c r="A55" s="43" t="s">
        <v>329</v>
      </c>
      <c r="B55" s="43" t="s">
        <v>330</v>
      </c>
      <c r="C55" s="43" t="s">
        <v>336</v>
      </c>
      <c r="D55" s="43" t="s">
        <v>337</v>
      </c>
      <c r="E55" s="43" t="s">
        <v>20</v>
      </c>
      <c r="F55" s="44" t="s">
        <v>338</v>
      </c>
      <c r="G55" s="43" t="s">
        <v>339</v>
      </c>
      <c r="H55" s="45" t="s">
        <v>340</v>
      </c>
      <c r="I55" s="43" t="s">
        <v>341</v>
      </c>
      <c r="J55" s="46" t="s">
        <v>166</v>
      </c>
      <c r="K55" s="46" t="s">
        <v>167</v>
      </c>
      <c r="L55" s="43" t="s">
        <v>27</v>
      </c>
      <c r="M55" s="47">
        <v>46204.0</v>
      </c>
      <c r="N55" s="43" t="s">
        <v>28</v>
      </c>
      <c r="O55" s="45" t="s">
        <v>168</v>
      </c>
      <c r="P55" s="43" t="s">
        <v>302</v>
      </c>
    </row>
    <row r="56" ht="15.75" customHeight="1">
      <c r="A56" s="8" t="s">
        <v>342</v>
      </c>
      <c r="B56" s="8" t="s">
        <v>343</v>
      </c>
      <c r="C56" s="8" t="s">
        <v>344</v>
      </c>
      <c r="D56" s="8" t="s">
        <v>345</v>
      </c>
      <c r="E56" s="8" t="s">
        <v>20</v>
      </c>
      <c r="F56" s="12" t="s">
        <v>346</v>
      </c>
      <c r="G56" s="8" t="s">
        <v>73</v>
      </c>
      <c r="H56" s="9" t="s">
        <v>73</v>
      </c>
      <c r="I56" s="8" t="s">
        <v>347</v>
      </c>
      <c r="J56" s="10" t="s">
        <v>25</v>
      </c>
      <c r="K56" s="8"/>
      <c r="L56" s="8" t="s">
        <v>27</v>
      </c>
      <c r="M56" s="11">
        <v>46204.0</v>
      </c>
      <c r="N56" s="8" t="s">
        <v>28</v>
      </c>
      <c r="O56" s="12"/>
      <c r="P56" s="8" t="s">
        <v>29</v>
      </c>
    </row>
    <row r="57" ht="15.75" customHeight="1">
      <c r="A57" s="8" t="s">
        <v>342</v>
      </c>
      <c r="B57" s="8" t="s">
        <v>343</v>
      </c>
      <c r="C57" s="8" t="s">
        <v>348</v>
      </c>
      <c r="D57" s="8" t="s">
        <v>349</v>
      </c>
      <c r="E57" s="8" t="s">
        <v>20</v>
      </c>
      <c r="F57" s="12" t="s">
        <v>350</v>
      </c>
      <c r="G57" s="8" t="s">
        <v>73</v>
      </c>
      <c r="H57" s="9" t="s">
        <v>73</v>
      </c>
      <c r="I57" s="8" t="s">
        <v>351</v>
      </c>
      <c r="J57" s="10" t="s">
        <v>25</v>
      </c>
      <c r="K57" s="8"/>
      <c r="L57" s="8" t="s">
        <v>27</v>
      </c>
      <c r="M57" s="11">
        <v>46204.0</v>
      </c>
      <c r="N57" s="8" t="s">
        <v>28</v>
      </c>
      <c r="O57" s="12"/>
      <c r="P57" s="8" t="s">
        <v>29</v>
      </c>
    </row>
    <row r="58" ht="15.75" customHeight="1">
      <c r="A58" s="8" t="s">
        <v>342</v>
      </c>
      <c r="B58" s="8" t="s">
        <v>343</v>
      </c>
      <c r="C58" s="8" t="s">
        <v>352</v>
      </c>
      <c r="D58" s="8" t="s">
        <v>353</v>
      </c>
      <c r="E58" s="8" t="s">
        <v>20</v>
      </c>
      <c r="F58" s="12" t="s">
        <v>354</v>
      </c>
      <c r="G58" s="8" t="s">
        <v>73</v>
      </c>
      <c r="H58" s="9" t="s">
        <v>355</v>
      </c>
      <c r="I58" s="8" t="s">
        <v>356</v>
      </c>
      <c r="J58" s="10" t="s">
        <v>25</v>
      </c>
      <c r="K58" s="8"/>
      <c r="L58" s="8" t="s">
        <v>27</v>
      </c>
      <c r="M58" s="11">
        <v>46204.0</v>
      </c>
      <c r="N58" s="8" t="s">
        <v>28</v>
      </c>
      <c r="O58" s="12"/>
      <c r="P58" s="8" t="s">
        <v>29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58">
      <formula1>"Pass,Fail,Blocked,Skipped"</formula1>
    </dataValidation>
    <dataValidation type="custom" allowBlank="1" showDropDown="1" showErrorMessage="1" sqref="M2:M58">
      <formula1>OR(NOT(ISERROR(DATEVALUE(M2))), AND(ISNUMBER(M2), LEFT(CELL("format", M2))="D"))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28.78"/>
    <col customWidth="1" min="3" max="3" width="12.78"/>
    <col customWidth="1" min="4" max="4" width="42.78"/>
    <col customWidth="1" min="5" max="5" width="16.78"/>
    <col customWidth="1" min="6" max="6" width="65.78"/>
    <col customWidth="1" min="7" max="7" width="42.78"/>
    <col customWidth="1" min="8" max="8" width="54.0"/>
    <col customWidth="1" min="9" max="9" width="77.11"/>
    <col customWidth="1" min="10" max="10" width="32.56"/>
    <col customWidth="1" min="11" max="11" width="37.22"/>
    <col customWidth="1" min="12" max="12" width="14.78"/>
    <col customWidth="1" min="13" max="14" width="16.78"/>
    <col customWidth="1" min="15" max="15" width="34.67"/>
    <col customWidth="1" min="16" max="16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5" t="s">
        <v>23</v>
      </c>
      <c r="I2" s="3" t="s">
        <v>24</v>
      </c>
      <c r="J2" s="6" t="s">
        <v>25</v>
      </c>
      <c r="K2" s="6" t="s">
        <v>26</v>
      </c>
      <c r="L2" s="3" t="s">
        <v>27</v>
      </c>
      <c r="M2" s="7">
        <v>46204.0</v>
      </c>
      <c r="N2" s="3" t="s">
        <v>28</v>
      </c>
      <c r="O2" s="4"/>
      <c r="P2" s="3" t="s">
        <v>29</v>
      </c>
    </row>
    <row r="3">
      <c r="A3" s="3" t="s">
        <v>16</v>
      </c>
      <c r="B3" s="3" t="s">
        <v>17</v>
      </c>
      <c r="C3" s="3" t="s">
        <v>30</v>
      </c>
      <c r="D3" s="3" t="s">
        <v>31</v>
      </c>
      <c r="E3" s="3" t="s">
        <v>20</v>
      </c>
      <c r="F3" s="4" t="s">
        <v>32</v>
      </c>
      <c r="G3" s="3" t="s">
        <v>33</v>
      </c>
      <c r="H3" s="5" t="s">
        <v>34</v>
      </c>
      <c r="I3" s="3" t="s">
        <v>35</v>
      </c>
      <c r="J3" s="6" t="s">
        <v>25</v>
      </c>
      <c r="K3" s="6" t="s">
        <v>26</v>
      </c>
      <c r="L3" s="3" t="s">
        <v>27</v>
      </c>
      <c r="M3" s="7">
        <v>46204.0</v>
      </c>
      <c r="N3" s="3" t="s">
        <v>28</v>
      </c>
      <c r="O3" s="5" t="s">
        <v>36</v>
      </c>
      <c r="P3" s="3" t="s">
        <v>29</v>
      </c>
    </row>
    <row r="4">
      <c r="A4" s="3" t="s">
        <v>16</v>
      </c>
      <c r="B4" s="3" t="s">
        <v>17</v>
      </c>
      <c r="C4" s="3" t="s">
        <v>37</v>
      </c>
      <c r="D4" s="3" t="s">
        <v>38</v>
      </c>
      <c r="E4" s="3" t="s">
        <v>20</v>
      </c>
      <c r="F4" s="4" t="s">
        <v>39</v>
      </c>
      <c r="G4" s="3" t="s">
        <v>40</v>
      </c>
      <c r="H4" s="5" t="s">
        <v>41</v>
      </c>
      <c r="I4" s="3" t="s">
        <v>42</v>
      </c>
      <c r="J4" s="6" t="s">
        <v>25</v>
      </c>
      <c r="K4" s="6" t="s">
        <v>26</v>
      </c>
      <c r="L4" s="3" t="s">
        <v>27</v>
      </c>
      <c r="M4" s="7">
        <v>46204.0</v>
      </c>
      <c r="N4" s="3" t="s">
        <v>28</v>
      </c>
      <c r="O4" s="4"/>
      <c r="P4" s="3" t="s">
        <v>29</v>
      </c>
    </row>
    <row r="5">
      <c r="A5" s="3" t="s">
        <v>16</v>
      </c>
      <c r="B5" s="3" t="s">
        <v>17</v>
      </c>
      <c r="C5" s="3" t="s">
        <v>43</v>
      </c>
      <c r="D5" s="3" t="s">
        <v>44</v>
      </c>
      <c r="E5" s="3" t="s">
        <v>20</v>
      </c>
      <c r="F5" s="4" t="s">
        <v>45</v>
      </c>
      <c r="G5" s="3" t="s">
        <v>33</v>
      </c>
      <c r="H5" s="5" t="s">
        <v>46</v>
      </c>
      <c r="I5" s="3" t="s">
        <v>47</v>
      </c>
      <c r="J5" s="6" t="s">
        <v>25</v>
      </c>
      <c r="K5" s="6" t="s">
        <v>26</v>
      </c>
      <c r="L5" s="3" t="s">
        <v>27</v>
      </c>
      <c r="M5" s="7">
        <v>46204.0</v>
      </c>
      <c r="N5" s="3" t="s">
        <v>28</v>
      </c>
      <c r="O5" s="4"/>
      <c r="P5" s="3" t="s">
        <v>29</v>
      </c>
    </row>
    <row r="6">
      <c r="A6" s="3" t="s">
        <v>16</v>
      </c>
      <c r="B6" s="3" t="s">
        <v>17</v>
      </c>
      <c r="C6" s="3" t="s">
        <v>48</v>
      </c>
      <c r="D6" s="3" t="s">
        <v>49</v>
      </c>
      <c r="E6" s="3" t="s">
        <v>20</v>
      </c>
      <c r="F6" s="4" t="s">
        <v>50</v>
      </c>
      <c r="G6" s="3" t="s">
        <v>51</v>
      </c>
      <c r="H6" s="5" t="s">
        <v>52</v>
      </c>
      <c r="I6" s="3" t="s">
        <v>53</v>
      </c>
      <c r="J6" s="6" t="s">
        <v>25</v>
      </c>
      <c r="K6" s="6" t="s">
        <v>26</v>
      </c>
      <c r="L6" s="3" t="s">
        <v>27</v>
      </c>
      <c r="M6" s="7">
        <v>46204.0</v>
      </c>
      <c r="N6" s="3" t="s">
        <v>28</v>
      </c>
      <c r="O6" s="5"/>
      <c r="P6" s="3" t="s">
        <v>29</v>
      </c>
    </row>
    <row r="7">
      <c r="A7" s="3" t="s">
        <v>16</v>
      </c>
      <c r="B7" s="3" t="s">
        <v>17</v>
      </c>
      <c r="C7" s="3" t="s">
        <v>57</v>
      </c>
      <c r="D7" s="3" t="s">
        <v>58</v>
      </c>
      <c r="E7" s="3" t="s">
        <v>20</v>
      </c>
      <c r="F7" s="4" t="s">
        <v>59</v>
      </c>
      <c r="G7" s="3" t="s">
        <v>60</v>
      </c>
      <c r="H7" s="5" t="s">
        <v>61</v>
      </c>
      <c r="I7" s="3" t="s">
        <v>62</v>
      </c>
      <c r="J7" s="6" t="s">
        <v>25</v>
      </c>
      <c r="K7" s="6" t="s">
        <v>26</v>
      </c>
      <c r="L7" s="3" t="s">
        <v>27</v>
      </c>
      <c r="M7" s="7">
        <v>46204.0</v>
      </c>
      <c r="N7" s="3" t="s">
        <v>28</v>
      </c>
      <c r="O7" s="5"/>
      <c r="P7" s="3" t="s">
        <v>29</v>
      </c>
    </row>
    <row r="8">
      <c r="A8" s="3" t="s">
        <v>16</v>
      </c>
      <c r="B8" s="3" t="s">
        <v>17</v>
      </c>
      <c r="C8" s="3" t="s">
        <v>64</v>
      </c>
      <c r="D8" s="3" t="s">
        <v>65</v>
      </c>
      <c r="E8" s="3" t="s">
        <v>20</v>
      </c>
      <c r="F8" s="4" t="s">
        <v>66</v>
      </c>
      <c r="G8" s="3" t="s">
        <v>33</v>
      </c>
      <c r="H8" s="5" t="s">
        <v>67</v>
      </c>
      <c r="I8" s="3" t="s">
        <v>68</v>
      </c>
      <c r="J8" s="6" t="s">
        <v>25</v>
      </c>
      <c r="K8" s="6" t="s">
        <v>62</v>
      </c>
      <c r="L8" s="3" t="s">
        <v>27</v>
      </c>
      <c r="M8" s="7">
        <v>46204.0</v>
      </c>
      <c r="N8" s="3" t="s">
        <v>28</v>
      </c>
      <c r="O8" s="5"/>
      <c r="P8" s="3" t="s">
        <v>29</v>
      </c>
    </row>
    <row r="9">
      <c r="A9" s="3" t="s">
        <v>16</v>
      </c>
      <c r="B9" s="3" t="s">
        <v>17</v>
      </c>
      <c r="C9" s="3" t="s">
        <v>69</v>
      </c>
      <c r="D9" s="3" t="s">
        <v>70</v>
      </c>
      <c r="E9" s="3" t="s">
        <v>20</v>
      </c>
      <c r="F9" s="4" t="s">
        <v>71</v>
      </c>
      <c r="G9" s="3" t="s">
        <v>72</v>
      </c>
      <c r="H9" s="5" t="s">
        <v>73</v>
      </c>
      <c r="I9" s="3" t="s">
        <v>74</v>
      </c>
      <c r="J9" s="6" t="s">
        <v>25</v>
      </c>
      <c r="K9" s="6" t="s">
        <v>75</v>
      </c>
      <c r="L9" s="3" t="s">
        <v>27</v>
      </c>
      <c r="M9" s="7">
        <v>46204.0</v>
      </c>
      <c r="N9" s="3" t="s">
        <v>28</v>
      </c>
      <c r="O9" s="5"/>
      <c r="P9" s="3" t="s">
        <v>29</v>
      </c>
    </row>
    <row r="10">
      <c r="A10" s="3" t="s">
        <v>16</v>
      </c>
      <c r="B10" s="3" t="s">
        <v>17</v>
      </c>
      <c r="C10" s="3" t="s">
        <v>76</v>
      </c>
      <c r="D10" s="3" t="s">
        <v>77</v>
      </c>
      <c r="E10" s="3" t="s">
        <v>20</v>
      </c>
      <c r="F10" s="5" t="s">
        <v>78</v>
      </c>
      <c r="G10" s="3" t="s">
        <v>79</v>
      </c>
      <c r="H10" s="5" t="s">
        <v>73</v>
      </c>
      <c r="I10" s="3" t="s">
        <v>80</v>
      </c>
      <c r="J10" s="6" t="s">
        <v>54</v>
      </c>
      <c r="K10" s="6" t="s">
        <v>81</v>
      </c>
      <c r="L10" s="3" t="s">
        <v>27</v>
      </c>
      <c r="M10" s="7">
        <v>46204.0</v>
      </c>
      <c r="N10" s="3" t="s">
        <v>28</v>
      </c>
      <c r="O10" s="4"/>
      <c r="P10" s="3" t="s">
        <v>29</v>
      </c>
    </row>
    <row r="11">
      <c r="A11" s="8" t="s">
        <v>82</v>
      </c>
      <c r="B11" s="8" t="s">
        <v>83</v>
      </c>
      <c r="C11" s="8" t="s">
        <v>84</v>
      </c>
      <c r="D11" s="8" t="s">
        <v>85</v>
      </c>
      <c r="E11" s="8" t="s">
        <v>20</v>
      </c>
      <c r="F11" s="9" t="s">
        <v>86</v>
      </c>
      <c r="G11" s="8" t="s">
        <v>87</v>
      </c>
      <c r="H11" s="9" t="s">
        <v>73</v>
      </c>
      <c r="I11" s="8" t="s">
        <v>88</v>
      </c>
      <c r="J11" s="10" t="s">
        <v>25</v>
      </c>
      <c r="K11" s="8"/>
      <c r="L11" s="8" t="s">
        <v>27</v>
      </c>
      <c r="M11" s="11">
        <v>46204.0</v>
      </c>
      <c r="N11" s="8" t="s">
        <v>28</v>
      </c>
      <c r="O11" s="12"/>
      <c r="P11" s="8" t="s">
        <v>29</v>
      </c>
    </row>
    <row r="12">
      <c r="A12" s="8" t="s">
        <v>82</v>
      </c>
      <c r="B12" s="8" t="s">
        <v>83</v>
      </c>
      <c r="C12" s="8" t="s">
        <v>89</v>
      </c>
      <c r="D12" s="8" t="s">
        <v>90</v>
      </c>
      <c r="E12" s="8" t="s">
        <v>20</v>
      </c>
      <c r="F12" s="12" t="s">
        <v>91</v>
      </c>
      <c r="G12" s="8" t="s">
        <v>92</v>
      </c>
      <c r="H12" s="9" t="s">
        <v>93</v>
      </c>
      <c r="I12" s="8" t="s">
        <v>94</v>
      </c>
      <c r="J12" s="10" t="s">
        <v>25</v>
      </c>
      <c r="K12" s="8"/>
      <c r="L12" s="8" t="s">
        <v>27</v>
      </c>
      <c r="M12" s="11">
        <v>46204.0</v>
      </c>
      <c r="N12" s="8" t="s">
        <v>28</v>
      </c>
      <c r="O12" s="9" t="s">
        <v>95</v>
      </c>
      <c r="P12" s="8" t="s">
        <v>29</v>
      </c>
    </row>
    <row r="13">
      <c r="A13" s="8" t="s">
        <v>82</v>
      </c>
      <c r="B13" s="8" t="s">
        <v>83</v>
      </c>
      <c r="C13" s="8" t="s">
        <v>96</v>
      </c>
      <c r="D13" s="8" t="s">
        <v>97</v>
      </c>
      <c r="E13" s="8" t="s">
        <v>20</v>
      </c>
      <c r="F13" s="12" t="s">
        <v>98</v>
      </c>
      <c r="G13" s="8" t="s">
        <v>72</v>
      </c>
      <c r="H13" s="9" t="s">
        <v>99</v>
      </c>
      <c r="I13" s="8" t="s">
        <v>100</v>
      </c>
      <c r="J13" s="10" t="s">
        <v>25</v>
      </c>
      <c r="K13" s="8"/>
      <c r="L13" s="8" t="s">
        <v>27</v>
      </c>
      <c r="M13" s="11">
        <v>46204.0</v>
      </c>
      <c r="N13" s="8" t="s">
        <v>28</v>
      </c>
      <c r="O13" s="12"/>
      <c r="P13" s="8" t="s">
        <v>29</v>
      </c>
    </row>
    <row r="14">
      <c r="A14" s="8" t="s">
        <v>82</v>
      </c>
      <c r="B14" s="8" t="s">
        <v>83</v>
      </c>
      <c r="C14" s="8" t="s">
        <v>101</v>
      </c>
      <c r="D14" s="8" t="s">
        <v>102</v>
      </c>
      <c r="E14" s="8" t="s">
        <v>20</v>
      </c>
      <c r="F14" s="12" t="s">
        <v>103</v>
      </c>
      <c r="G14" s="8" t="s">
        <v>72</v>
      </c>
      <c r="H14" s="9" t="s">
        <v>73</v>
      </c>
      <c r="I14" s="8" t="s">
        <v>104</v>
      </c>
      <c r="J14" s="10" t="s">
        <v>25</v>
      </c>
      <c r="K14" s="8"/>
      <c r="L14" s="8" t="s">
        <v>27</v>
      </c>
      <c r="M14" s="11">
        <v>46204.0</v>
      </c>
      <c r="N14" s="8" t="s">
        <v>28</v>
      </c>
      <c r="O14" s="12"/>
      <c r="P14" s="8" t="s">
        <v>29</v>
      </c>
    </row>
    <row r="15">
      <c r="A15" s="8" t="s">
        <v>82</v>
      </c>
      <c r="B15" s="8" t="s">
        <v>83</v>
      </c>
      <c r="C15" s="8" t="s">
        <v>105</v>
      </c>
      <c r="D15" s="8" t="s">
        <v>106</v>
      </c>
      <c r="E15" s="8" t="s">
        <v>20</v>
      </c>
      <c r="F15" s="12" t="s">
        <v>107</v>
      </c>
      <c r="G15" s="8" t="s">
        <v>108</v>
      </c>
      <c r="H15" s="9" t="s">
        <v>73</v>
      </c>
      <c r="I15" s="8" t="s">
        <v>109</v>
      </c>
      <c r="J15" s="10" t="s">
        <v>25</v>
      </c>
      <c r="K15" s="8"/>
      <c r="L15" s="8" t="s">
        <v>27</v>
      </c>
      <c r="M15" s="11">
        <v>46204.0</v>
      </c>
      <c r="N15" s="8" t="s">
        <v>28</v>
      </c>
      <c r="O15" s="12"/>
      <c r="P15" s="8" t="s">
        <v>29</v>
      </c>
    </row>
    <row r="16">
      <c r="A16" s="8" t="s">
        <v>82</v>
      </c>
      <c r="B16" s="8" t="s">
        <v>83</v>
      </c>
      <c r="C16" s="8" t="s">
        <v>110</v>
      </c>
      <c r="D16" s="8" t="s">
        <v>111</v>
      </c>
      <c r="E16" s="8" t="s">
        <v>20</v>
      </c>
      <c r="F16" s="12" t="s">
        <v>112</v>
      </c>
      <c r="G16" s="8" t="s">
        <v>113</v>
      </c>
      <c r="H16" s="9" t="s">
        <v>114</v>
      </c>
      <c r="I16" s="8" t="s">
        <v>115</v>
      </c>
      <c r="J16" s="10" t="s">
        <v>25</v>
      </c>
      <c r="K16" s="10"/>
      <c r="L16" s="8" t="s">
        <v>27</v>
      </c>
      <c r="M16" s="11">
        <v>46204.0</v>
      </c>
      <c r="N16" s="8" t="s">
        <v>28</v>
      </c>
      <c r="O16" s="9" t="s">
        <v>117</v>
      </c>
      <c r="P16" s="8" t="s">
        <v>29</v>
      </c>
    </row>
    <row r="17">
      <c r="A17" s="8" t="s">
        <v>82</v>
      </c>
      <c r="B17" s="8" t="s">
        <v>83</v>
      </c>
      <c r="C17" s="8" t="s">
        <v>118</v>
      </c>
      <c r="D17" s="8" t="s">
        <v>119</v>
      </c>
      <c r="E17" s="8" t="s">
        <v>20</v>
      </c>
      <c r="F17" s="12" t="s">
        <v>120</v>
      </c>
      <c r="G17" s="8" t="s">
        <v>113</v>
      </c>
      <c r="H17" s="9" t="s">
        <v>73</v>
      </c>
      <c r="I17" s="8" t="s">
        <v>121</v>
      </c>
      <c r="J17" s="10" t="s">
        <v>25</v>
      </c>
      <c r="K17" s="10"/>
      <c r="L17" s="8" t="s">
        <v>27</v>
      </c>
      <c r="M17" s="11">
        <v>46204.0</v>
      </c>
      <c r="N17" s="8" t="s">
        <v>28</v>
      </c>
      <c r="O17" s="9" t="s">
        <v>122</v>
      </c>
      <c r="P17" s="8" t="s">
        <v>29</v>
      </c>
    </row>
    <row r="18">
      <c r="A18" s="8" t="s">
        <v>82</v>
      </c>
      <c r="B18" s="8" t="s">
        <v>83</v>
      </c>
      <c r="C18" s="8" t="s">
        <v>123</v>
      </c>
      <c r="D18" s="8" t="s">
        <v>124</v>
      </c>
      <c r="E18" s="8" t="s">
        <v>20</v>
      </c>
      <c r="F18" s="12" t="s">
        <v>125</v>
      </c>
      <c r="G18" s="8" t="s">
        <v>126</v>
      </c>
      <c r="H18" s="9" t="s">
        <v>127</v>
      </c>
      <c r="I18" s="8" t="s">
        <v>128</v>
      </c>
      <c r="J18" s="10" t="s">
        <v>25</v>
      </c>
      <c r="K18" s="8"/>
      <c r="L18" s="8" t="s">
        <v>27</v>
      </c>
      <c r="M18" s="11">
        <v>46204.0</v>
      </c>
      <c r="N18" s="8" t="s">
        <v>28</v>
      </c>
      <c r="O18" s="12"/>
      <c r="P18" s="8" t="s">
        <v>29</v>
      </c>
    </row>
    <row r="19">
      <c r="A19" s="8" t="s">
        <v>82</v>
      </c>
      <c r="B19" s="8" t="s">
        <v>83</v>
      </c>
      <c r="C19" s="8" t="s">
        <v>129</v>
      </c>
      <c r="D19" s="8" t="s">
        <v>130</v>
      </c>
      <c r="E19" s="8" t="s">
        <v>20</v>
      </c>
      <c r="F19" s="12" t="s">
        <v>131</v>
      </c>
      <c r="G19" s="8" t="s">
        <v>132</v>
      </c>
      <c r="H19" s="9" t="s">
        <v>133</v>
      </c>
      <c r="I19" s="8" t="s">
        <v>134</v>
      </c>
      <c r="J19" s="10" t="s">
        <v>25</v>
      </c>
      <c r="K19" s="8"/>
      <c r="L19" s="8" t="s">
        <v>27</v>
      </c>
      <c r="M19" s="11">
        <v>46204.0</v>
      </c>
      <c r="N19" s="8" t="s">
        <v>28</v>
      </c>
      <c r="O19" s="12"/>
      <c r="P19" s="8" t="s">
        <v>29</v>
      </c>
    </row>
    <row r="20">
      <c r="A20" s="8" t="s">
        <v>82</v>
      </c>
      <c r="B20" s="8" t="s">
        <v>83</v>
      </c>
      <c r="C20" s="8" t="s">
        <v>135</v>
      </c>
      <c r="D20" s="8" t="s">
        <v>136</v>
      </c>
      <c r="E20" s="8" t="s">
        <v>20</v>
      </c>
      <c r="F20" s="12" t="s">
        <v>137</v>
      </c>
      <c r="G20" s="8" t="s">
        <v>138</v>
      </c>
      <c r="H20" s="9" t="s">
        <v>73</v>
      </c>
      <c r="I20" s="8" t="s">
        <v>139</v>
      </c>
      <c r="J20" s="10" t="s">
        <v>25</v>
      </c>
      <c r="K20" s="8"/>
      <c r="L20" s="8" t="s">
        <v>27</v>
      </c>
      <c r="M20" s="11">
        <v>46204.0</v>
      </c>
      <c r="N20" s="8" t="s">
        <v>28</v>
      </c>
      <c r="O20" s="12"/>
      <c r="P20" s="8" t="s">
        <v>29</v>
      </c>
    </row>
    <row r="21" ht="15.75" customHeight="1">
      <c r="A21" s="13" t="s">
        <v>140</v>
      </c>
      <c r="B21" s="13" t="s">
        <v>141</v>
      </c>
      <c r="C21" s="13" t="s">
        <v>142</v>
      </c>
      <c r="D21" s="13" t="s">
        <v>143</v>
      </c>
      <c r="E21" s="13" t="s">
        <v>20</v>
      </c>
      <c r="F21" s="14" t="s">
        <v>144</v>
      </c>
      <c r="G21" s="13" t="s">
        <v>145</v>
      </c>
      <c r="H21" s="15" t="s">
        <v>146</v>
      </c>
      <c r="I21" s="13" t="s">
        <v>147</v>
      </c>
      <c r="J21" s="16" t="s">
        <v>25</v>
      </c>
      <c r="K21" s="13"/>
      <c r="L21" s="13" t="s">
        <v>27</v>
      </c>
      <c r="M21" s="17">
        <v>46204.0</v>
      </c>
      <c r="N21" s="13" t="s">
        <v>28</v>
      </c>
      <c r="O21" s="15" t="s">
        <v>148</v>
      </c>
      <c r="P21" s="13" t="s">
        <v>29</v>
      </c>
    </row>
    <row r="22" ht="15.75" customHeight="1">
      <c r="A22" s="13" t="s">
        <v>140</v>
      </c>
      <c r="B22" s="13" t="s">
        <v>141</v>
      </c>
      <c r="C22" s="13" t="s">
        <v>149</v>
      </c>
      <c r="D22" s="13" t="s">
        <v>150</v>
      </c>
      <c r="E22" s="13" t="s">
        <v>20</v>
      </c>
      <c r="F22" s="14" t="s">
        <v>151</v>
      </c>
      <c r="G22" s="13" t="s">
        <v>72</v>
      </c>
      <c r="H22" s="15" t="s">
        <v>152</v>
      </c>
      <c r="I22" s="13" t="s">
        <v>153</v>
      </c>
      <c r="J22" s="16" t="s">
        <v>25</v>
      </c>
      <c r="K22" s="16" t="s">
        <v>154</v>
      </c>
      <c r="L22" s="13" t="s">
        <v>27</v>
      </c>
      <c r="M22" s="17">
        <v>46204.0</v>
      </c>
      <c r="N22" s="13" t="s">
        <v>28</v>
      </c>
      <c r="O22" s="14"/>
      <c r="P22" s="13" t="s">
        <v>29</v>
      </c>
    </row>
    <row r="23" ht="15.75" customHeight="1">
      <c r="A23" s="13" t="s">
        <v>140</v>
      </c>
      <c r="B23" s="13" t="s">
        <v>141</v>
      </c>
      <c r="C23" s="13" t="s">
        <v>155</v>
      </c>
      <c r="D23" s="13" t="s">
        <v>156</v>
      </c>
      <c r="E23" s="13" t="s">
        <v>20</v>
      </c>
      <c r="F23" s="14" t="s">
        <v>157</v>
      </c>
      <c r="G23" s="13" t="s">
        <v>158</v>
      </c>
      <c r="H23" s="15" t="s">
        <v>159</v>
      </c>
      <c r="I23" s="13" t="s">
        <v>160</v>
      </c>
      <c r="J23" s="16" t="s">
        <v>25</v>
      </c>
      <c r="K23" s="13"/>
      <c r="L23" s="13" t="s">
        <v>27</v>
      </c>
      <c r="M23" s="17">
        <v>46204.0</v>
      </c>
      <c r="N23" s="13" t="s">
        <v>28</v>
      </c>
      <c r="O23" s="14"/>
      <c r="P23" s="13" t="s">
        <v>29</v>
      </c>
    </row>
    <row r="24" ht="15.75" customHeight="1">
      <c r="A24" s="13" t="s">
        <v>140</v>
      </c>
      <c r="B24" s="13" t="s">
        <v>141</v>
      </c>
      <c r="C24" s="13" t="s">
        <v>161</v>
      </c>
      <c r="D24" s="13" t="s">
        <v>162</v>
      </c>
      <c r="E24" s="13" t="s">
        <v>20</v>
      </c>
      <c r="F24" s="14" t="s">
        <v>163</v>
      </c>
      <c r="G24" s="13" t="s">
        <v>164</v>
      </c>
      <c r="H24" s="15" t="s">
        <v>73</v>
      </c>
      <c r="I24" s="13" t="s">
        <v>165</v>
      </c>
      <c r="J24" s="16" t="s">
        <v>166</v>
      </c>
      <c r="K24" s="16" t="s">
        <v>167</v>
      </c>
      <c r="L24" s="13" t="s">
        <v>27</v>
      </c>
      <c r="M24" s="17">
        <v>46204.0</v>
      </c>
      <c r="N24" s="13" t="s">
        <v>28</v>
      </c>
      <c r="O24" s="15" t="s">
        <v>168</v>
      </c>
      <c r="P24" s="13" t="s">
        <v>29</v>
      </c>
    </row>
    <row r="25" ht="15.75" customHeight="1">
      <c r="A25" s="13" t="s">
        <v>140</v>
      </c>
      <c r="B25" s="13" t="s">
        <v>141</v>
      </c>
      <c r="C25" s="13" t="s">
        <v>169</v>
      </c>
      <c r="D25" s="13" t="s">
        <v>170</v>
      </c>
      <c r="E25" s="13" t="s">
        <v>20</v>
      </c>
      <c r="F25" s="14" t="s">
        <v>171</v>
      </c>
      <c r="G25" s="13" t="s">
        <v>79</v>
      </c>
      <c r="H25" s="15" t="s">
        <v>73</v>
      </c>
      <c r="I25" s="13" t="s">
        <v>172</v>
      </c>
      <c r="J25" s="16" t="s">
        <v>166</v>
      </c>
      <c r="K25" s="16" t="s">
        <v>167</v>
      </c>
      <c r="L25" s="13" t="s">
        <v>27</v>
      </c>
      <c r="M25" s="17">
        <v>46204.0</v>
      </c>
      <c r="N25" s="13" t="s">
        <v>28</v>
      </c>
      <c r="O25" s="15" t="s">
        <v>168</v>
      </c>
      <c r="P25" s="13" t="s">
        <v>29</v>
      </c>
    </row>
    <row r="26" ht="15.75" customHeight="1">
      <c r="A26" s="18" t="s">
        <v>173</v>
      </c>
      <c r="B26" s="18" t="s">
        <v>174</v>
      </c>
      <c r="C26" s="18" t="s">
        <v>175</v>
      </c>
      <c r="D26" s="18" t="s">
        <v>176</v>
      </c>
      <c r="E26" s="18" t="s">
        <v>20</v>
      </c>
      <c r="F26" s="19" t="s">
        <v>177</v>
      </c>
      <c r="G26" s="18" t="s">
        <v>178</v>
      </c>
      <c r="H26" s="20" t="s">
        <v>73</v>
      </c>
      <c r="I26" s="18" t="s">
        <v>179</v>
      </c>
      <c r="J26" s="21" t="s">
        <v>25</v>
      </c>
      <c r="K26" s="18"/>
      <c r="L26" s="18" t="s">
        <v>27</v>
      </c>
      <c r="M26" s="22">
        <v>46204.0</v>
      </c>
      <c r="N26" s="18" t="s">
        <v>28</v>
      </c>
      <c r="O26" s="19"/>
      <c r="P26" s="18" t="s">
        <v>29</v>
      </c>
    </row>
    <row r="27" ht="15.75" customHeight="1">
      <c r="A27" s="18" t="s">
        <v>173</v>
      </c>
      <c r="B27" s="18" t="s">
        <v>174</v>
      </c>
      <c r="C27" s="18" t="s">
        <v>180</v>
      </c>
      <c r="D27" s="18" t="s">
        <v>181</v>
      </c>
      <c r="E27" s="18" t="s">
        <v>20</v>
      </c>
      <c r="F27" s="19" t="s">
        <v>182</v>
      </c>
      <c r="G27" s="18" t="s">
        <v>183</v>
      </c>
      <c r="H27" s="20" t="s">
        <v>73</v>
      </c>
      <c r="I27" s="18" t="s">
        <v>184</v>
      </c>
      <c r="J27" s="21" t="s">
        <v>25</v>
      </c>
      <c r="K27" s="18"/>
      <c r="L27" s="18" t="s">
        <v>27</v>
      </c>
      <c r="M27" s="22">
        <v>46204.0</v>
      </c>
      <c r="N27" s="18" t="s">
        <v>28</v>
      </c>
      <c r="O27" s="19"/>
      <c r="P27" s="18" t="s">
        <v>29</v>
      </c>
    </row>
    <row r="28" ht="15.75" customHeight="1">
      <c r="A28" s="18" t="s">
        <v>173</v>
      </c>
      <c r="B28" s="18" t="s">
        <v>174</v>
      </c>
      <c r="C28" s="18" t="s">
        <v>185</v>
      </c>
      <c r="D28" s="18" t="s">
        <v>186</v>
      </c>
      <c r="E28" s="18" t="s">
        <v>20</v>
      </c>
      <c r="F28" s="19" t="s">
        <v>187</v>
      </c>
      <c r="G28" s="18" t="s">
        <v>178</v>
      </c>
      <c r="H28" s="20" t="s">
        <v>73</v>
      </c>
      <c r="I28" s="18" t="s">
        <v>188</v>
      </c>
      <c r="J28" s="21" t="s">
        <v>25</v>
      </c>
      <c r="K28" s="18"/>
      <c r="L28" s="18" t="s">
        <v>27</v>
      </c>
      <c r="M28" s="22">
        <v>46204.0</v>
      </c>
      <c r="N28" s="18" t="s">
        <v>28</v>
      </c>
      <c r="O28" s="19"/>
      <c r="P28" s="18" t="s">
        <v>29</v>
      </c>
    </row>
    <row r="29" ht="15.75" customHeight="1">
      <c r="A29" s="18" t="s">
        <v>173</v>
      </c>
      <c r="B29" s="18" t="s">
        <v>174</v>
      </c>
      <c r="C29" s="18" t="s">
        <v>189</v>
      </c>
      <c r="D29" s="18" t="s">
        <v>190</v>
      </c>
      <c r="E29" s="18" t="s">
        <v>20</v>
      </c>
      <c r="F29" s="19" t="s">
        <v>191</v>
      </c>
      <c r="G29" s="18" t="s">
        <v>79</v>
      </c>
      <c r="H29" s="20" t="s">
        <v>73</v>
      </c>
      <c r="I29" s="18" t="s">
        <v>192</v>
      </c>
      <c r="J29" s="21" t="s">
        <v>25</v>
      </c>
      <c r="K29" s="18"/>
      <c r="L29" s="18" t="s">
        <v>27</v>
      </c>
      <c r="M29" s="22">
        <v>46204.0</v>
      </c>
      <c r="N29" s="18" t="s">
        <v>28</v>
      </c>
      <c r="O29" s="19"/>
      <c r="P29" s="18" t="s">
        <v>29</v>
      </c>
    </row>
    <row r="30" ht="15.75" customHeight="1">
      <c r="A30" s="23" t="s">
        <v>193</v>
      </c>
      <c r="B30" s="23" t="s">
        <v>194</v>
      </c>
      <c r="C30" s="23" t="s">
        <v>195</v>
      </c>
      <c r="D30" s="23" t="s">
        <v>196</v>
      </c>
      <c r="E30" s="23" t="s">
        <v>20</v>
      </c>
      <c r="F30" s="24" t="s">
        <v>197</v>
      </c>
      <c r="G30" s="23" t="s">
        <v>198</v>
      </c>
      <c r="H30" s="25" t="s">
        <v>73</v>
      </c>
      <c r="I30" s="23" t="s">
        <v>199</v>
      </c>
      <c r="J30" s="26" t="s">
        <v>25</v>
      </c>
      <c r="K30" s="26"/>
      <c r="L30" s="23" t="s">
        <v>27</v>
      </c>
      <c r="M30" s="27">
        <v>46204.0</v>
      </c>
      <c r="N30" s="23" t="s">
        <v>28</v>
      </c>
      <c r="O30" s="25" t="s">
        <v>95</v>
      </c>
      <c r="P30" s="23" t="s">
        <v>29</v>
      </c>
    </row>
    <row r="31" ht="15.75" customHeight="1">
      <c r="A31" s="23" t="s">
        <v>193</v>
      </c>
      <c r="B31" s="23" t="s">
        <v>194</v>
      </c>
      <c r="C31" s="23" t="s">
        <v>200</v>
      </c>
      <c r="D31" s="23" t="s">
        <v>201</v>
      </c>
      <c r="E31" s="23" t="s">
        <v>20</v>
      </c>
      <c r="F31" s="24" t="s">
        <v>202</v>
      </c>
      <c r="G31" s="23" t="s">
        <v>203</v>
      </c>
      <c r="H31" s="25" t="s">
        <v>73</v>
      </c>
      <c r="I31" s="23" t="s">
        <v>204</v>
      </c>
      <c r="J31" s="26" t="s">
        <v>25</v>
      </c>
      <c r="K31" s="23"/>
      <c r="L31" s="23" t="s">
        <v>27</v>
      </c>
      <c r="M31" s="27">
        <v>46204.0</v>
      </c>
      <c r="N31" s="23" t="s">
        <v>28</v>
      </c>
      <c r="O31" s="25" t="s">
        <v>95</v>
      </c>
      <c r="P31" s="23" t="s">
        <v>29</v>
      </c>
    </row>
    <row r="32" ht="15.75" customHeight="1">
      <c r="A32" s="23" t="s">
        <v>193</v>
      </c>
      <c r="B32" s="23" t="s">
        <v>194</v>
      </c>
      <c r="C32" s="23" t="s">
        <v>205</v>
      </c>
      <c r="D32" s="23" t="s">
        <v>206</v>
      </c>
      <c r="E32" s="23" t="s">
        <v>20</v>
      </c>
      <c r="F32" s="24" t="s">
        <v>207</v>
      </c>
      <c r="G32" s="23" t="s">
        <v>208</v>
      </c>
      <c r="H32" s="25" t="s">
        <v>73</v>
      </c>
      <c r="I32" s="23" t="s">
        <v>209</v>
      </c>
      <c r="J32" s="26" t="s">
        <v>25</v>
      </c>
      <c r="K32" s="23"/>
      <c r="L32" s="23" t="s">
        <v>27</v>
      </c>
      <c r="M32" s="27">
        <v>46204.0</v>
      </c>
      <c r="N32" s="23" t="s">
        <v>28</v>
      </c>
      <c r="O32" s="24"/>
      <c r="P32" s="23" t="s">
        <v>29</v>
      </c>
    </row>
    <row r="33" ht="15.75" customHeight="1">
      <c r="A33" s="23" t="s">
        <v>193</v>
      </c>
      <c r="B33" s="23" t="s">
        <v>194</v>
      </c>
      <c r="C33" s="23" t="s">
        <v>210</v>
      </c>
      <c r="D33" s="23" t="s">
        <v>211</v>
      </c>
      <c r="E33" s="23" t="s">
        <v>20</v>
      </c>
      <c r="F33" s="24" t="s">
        <v>212</v>
      </c>
      <c r="G33" s="23" t="s">
        <v>213</v>
      </c>
      <c r="H33" s="25" t="s">
        <v>73</v>
      </c>
      <c r="I33" s="23" t="s">
        <v>214</v>
      </c>
      <c r="J33" s="26" t="s">
        <v>25</v>
      </c>
      <c r="K33" s="23"/>
      <c r="L33" s="23" t="s">
        <v>27</v>
      </c>
      <c r="M33" s="27">
        <v>46204.0</v>
      </c>
      <c r="N33" s="23" t="s">
        <v>28</v>
      </c>
      <c r="O33" s="24"/>
      <c r="P33" s="23" t="s">
        <v>29</v>
      </c>
    </row>
    <row r="34" ht="15.75" customHeight="1">
      <c r="A34" s="23" t="s">
        <v>215</v>
      </c>
      <c r="B34" s="23" t="s">
        <v>216</v>
      </c>
      <c r="C34" s="23" t="s">
        <v>217</v>
      </c>
      <c r="D34" s="23" t="s">
        <v>218</v>
      </c>
      <c r="E34" s="23" t="s">
        <v>20</v>
      </c>
      <c r="F34" s="24" t="s">
        <v>219</v>
      </c>
      <c r="G34" s="23" t="s">
        <v>220</v>
      </c>
      <c r="H34" s="25" t="s">
        <v>73</v>
      </c>
      <c r="I34" s="23" t="s">
        <v>221</v>
      </c>
      <c r="J34" s="26" t="s">
        <v>25</v>
      </c>
      <c r="K34" s="23"/>
      <c r="L34" s="23" t="s">
        <v>27</v>
      </c>
      <c r="M34" s="27">
        <v>46204.0</v>
      </c>
      <c r="N34" s="23" t="s">
        <v>28</v>
      </c>
      <c r="O34" s="24"/>
      <c r="P34" s="23" t="s">
        <v>222</v>
      </c>
    </row>
    <row r="35" ht="15.75" customHeight="1">
      <c r="A35" s="23" t="s">
        <v>215</v>
      </c>
      <c r="B35" s="23" t="s">
        <v>216</v>
      </c>
      <c r="C35" s="23" t="s">
        <v>223</v>
      </c>
      <c r="D35" s="23" t="s">
        <v>224</v>
      </c>
      <c r="E35" s="23" t="s">
        <v>20</v>
      </c>
      <c r="F35" s="24" t="s">
        <v>225</v>
      </c>
      <c r="G35" s="23" t="s">
        <v>220</v>
      </c>
      <c r="H35" s="25" t="s">
        <v>73</v>
      </c>
      <c r="I35" s="23" t="s">
        <v>226</v>
      </c>
      <c r="J35" s="26" t="s">
        <v>25</v>
      </c>
      <c r="K35" s="23"/>
      <c r="L35" s="23" t="s">
        <v>27</v>
      </c>
      <c r="M35" s="27">
        <v>46204.0</v>
      </c>
      <c r="N35" s="23" t="s">
        <v>28</v>
      </c>
      <c r="O35" s="24"/>
      <c r="P35" s="23" t="s">
        <v>222</v>
      </c>
    </row>
    <row r="36" ht="15.75" customHeight="1">
      <c r="A36" s="23" t="s">
        <v>215</v>
      </c>
      <c r="B36" s="23" t="s">
        <v>216</v>
      </c>
      <c r="C36" s="23" t="s">
        <v>227</v>
      </c>
      <c r="D36" s="23" t="s">
        <v>228</v>
      </c>
      <c r="E36" s="23" t="s">
        <v>20</v>
      </c>
      <c r="F36" s="24" t="s">
        <v>229</v>
      </c>
      <c r="G36" s="23" t="s">
        <v>230</v>
      </c>
      <c r="H36" s="25" t="s">
        <v>73</v>
      </c>
      <c r="I36" s="23" t="s">
        <v>231</v>
      </c>
      <c r="J36" s="26" t="s">
        <v>25</v>
      </c>
      <c r="K36" s="23"/>
      <c r="L36" s="23" t="s">
        <v>27</v>
      </c>
      <c r="M36" s="27">
        <v>46204.0</v>
      </c>
      <c r="N36" s="23" t="s">
        <v>28</v>
      </c>
      <c r="O36" s="24"/>
      <c r="P36" s="23" t="s">
        <v>222</v>
      </c>
    </row>
    <row r="37" ht="15.75" customHeight="1">
      <c r="A37" s="23" t="s">
        <v>215</v>
      </c>
      <c r="B37" s="23" t="s">
        <v>216</v>
      </c>
      <c r="C37" s="23" t="s">
        <v>232</v>
      </c>
      <c r="D37" s="23" t="s">
        <v>233</v>
      </c>
      <c r="E37" s="23" t="s">
        <v>20</v>
      </c>
      <c r="F37" s="24" t="s">
        <v>234</v>
      </c>
      <c r="G37" s="23" t="s">
        <v>235</v>
      </c>
      <c r="H37" s="25" t="s">
        <v>73</v>
      </c>
      <c r="I37" s="23" t="s">
        <v>236</v>
      </c>
      <c r="J37" s="26" t="s">
        <v>25</v>
      </c>
      <c r="K37" s="23"/>
      <c r="L37" s="23" t="s">
        <v>27</v>
      </c>
      <c r="M37" s="27">
        <v>46204.0</v>
      </c>
      <c r="N37" s="23" t="s">
        <v>28</v>
      </c>
      <c r="O37" s="24"/>
      <c r="P37" s="23" t="s">
        <v>222</v>
      </c>
    </row>
    <row r="38" ht="15.75" customHeight="1">
      <c r="A38" s="28" t="s">
        <v>237</v>
      </c>
      <c r="B38" s="28" t="s">
        <v>238</v>
      </c>
      <c r="C38" s="28" t="s">
        <v>239</v>
      </c>
      <c r="D38" s="28" t="s">
        <v>240</v>
      </c>
      <c r="E38" s="28" t="s">
        <v>20</v>
      </c>
      <c r="F38" s="29" t="s">
        <v>241</v>
      </c>
      <c r="G38" s="28" t="s">
        <v>242</v>
      </c>
      <c r="H38" s="30" t="s">
        <v>73</v>
      </c>
      <c r="I38" s="28" t="s">
        <v>243</v>
      </c>
      <c r="J38" s="31" t="s">
        <v>25</v>
      </c>
      <c r="K38" s="28"/>
      <c r="L38" s="28" t="s">
        <v>27</v>
      </c>
      <c r="M38" s="32">
        <v>46204.0</v>
      </c>
      <c r="N38" s="28" t="s">
        <v>28</v>
      </c>
      <c r="O38" s="29"/>
      <c r="P38" s="28" t="s">
        <v>29</v>
      </c>
    </row>
    <row r="39" ht="15.75" customHeight="1">
      <c r="A39" s="28" t="s">
        <v>237</v>
      </c>
      <c r="B39" s="28" t="s">
        <v>238</v>
      </c>
      <c r="C39" s="28" t="s">
        <v>244</v>
      </c>
      <c r="D39" s="28" t="s">
        <v>245</v>
      </c>
      <c r="E39" s="28" t="s">
        <v>20</v>
      </c>
      <c r="F39" s="29" t="s">
        <v>246</v>
      </c>
      <c r="G39" s="28" t="s">
        <v>247</v>
      </c>
      <c r="H39" s="30" t="s">
        <v>73</v>
      </c>
      <c r="I39" s="28" t="s">
        <v>248</v>
      </c>
      <c r="J39" s="31" t="s">
        <v>25</v>
      </c>
      <c r="K39" s="28"/>
      <c r="L39" s="28" t="s">
        <v>27</v>
      </c>
      <c r="M39" s="32">
        <v>46204.0</v>
      </c>
      <c r="N39" s="28" t="s">
        <v>28</v>
      </c>
      <c r="O39" s="29"/>
      <c r="P39" s="28" t="s">
        <v>29</v>
      </c>
    </row>
    <row r="40" ht="15.75" customHeight="1">
      <c r="A40" s="28" t="s">
        <v>237</v>
      </c>
      <c r="B40" s="28" t="s">
        <v>238</v>
      </c>
      <c r="C40" s="28" t="s">
        <v>249</v>
      </c>
      <c r="D40" s="28" t="s">
        <v>250</v>
      </c>
      <c r="E40" s="28" t="s">
        <v>20</v>
      </c>
      <c r="F40" s="29" t="s">
        <v>251</v>
      </c>
      <c r="G40" s="28" t="s">
        <v>73</v>
      </c>
      <c r="H40" s="30" t="s">
        <v>73</v>
      </c>
      <c r="I40" s="28" t="s">
        <v>252</v>
      </c>
      <c r="J40" s="31" t="s">
        <v>25</v>
      </c>
      <c r="K40" s="28"/>
      <c r="L40" s="28" t="s">
        <v>27</v>
      </c>
      <c r="M40" s="32">
        <v>46204.0</v>
      </c>
      <c r="N40" s="28" t="s">
        <v>28</v>
      </c>
      <c r="O40" s="29"/>
      <c r="P40" s="28" t="s">
        <v>29</v>
      </c>
    </row>
    <row r="41" ht="15.75" customHeight="1">
      <c r="A41" s="33" t="s">
        <v>253</v>
      </c>
      <c r="B41" s="33" t="s">
        <v>254</v>
      </c>
      <c r="C41" s="33" t="s">
        <v>255</v>
      </c>
      <c r="D41" s="33" t="s">
        <v>256</v>
      </c>
      <c r="E41" s="33" t="s">
        <v>20</v>
      </c>
      <c r="F41" s="34" t="s">
        <v>257</v>
      </c>
      <c r="G41" s="33" t="s">
        <v>72</v>
      </c>
      <c r="H41" s="35" t="s">
        <v>73</v>
      </c>
      <c r="I41" s="33" t="s">
        <v>258</v>
      </c>
      <c r="J41" s="36" t="s">
        <v>25</v>
      </c>
      <c r="K41" s="33"/>
      <c r="L41" s="33" t="s">
        <v>27</v>
      </c>
      <c r="M41" s="37">
        <v>46204.0</v>
      </c>
      <c r="N41" s="33" t="s">
        <v>28</v>
      </c>
      <c r="O41" s="34"/>
      <c r="P41" s="33" t="s">
        <v>222</v>
      </c>
    </row>
    <row r="42" ht="15.75" customHeight="1">
      <c r="A42" s="33" t="s">
        <v>253</v>
      </c>
      <c r="B42" s="33" t="s">
        <v>254</v>
      </c>
      <c r="C42" s="33" t="s">
        <v>259</v>
      </c>
      <c r="D42" s="33" t="s">
        <v>260</v>
      </c>
      <c r="E42" s="33" t="s">
        <v>20</v>
      </c>
      <c r="F42" s="34" t="s">
        <v>261</v>
      </c>
      <c r="G42" s="33" t="s">
        <v>72</v>
      </c>
      <c r="H42" s="35" t="s">
        <v>262</v>
      </c>
      <c r="I42" s="33" t="s">
        <v>263</v>
      </c>
      <c r="J42" s="36" t="s">
        <v>25</v>
      </c>
      <c r="K42" s="33"/>
      <c r="L42" s="33" t="s">
        <v>27</v>
      </c>
      <c r="M42" s="37">
        <v>46204.0</v>
      </c>
      <c r="N42" s="33" t="s">
        <v>28</v>
      </c>
      <c r="O42" s="34"/>
      <c r="P42" s="33" t="s">
        <v>222</v>
      </c>
    </row>
    <row r="43" ht="15.75" customHeight="1">
      <c r="A43" s="33" t="s">
        <v>253</v>
      </c>
      <c r="B43" s="33" t="s">
        <v>254</v>
      </c>
      <c r="C43" s="33" t="s">
        <v>264</v>
      </c>
      <c r="D43" s="33" t="s">
        <v>265</v>
      </c>
      <c r="E43" s="33" t="s">
        <v>20</v>
      </c>
      <c r="F43" s="34" t="s">
        <v>266</v>
      </c>
      <c r="G43" s="33" t="s">
        <v>267</v>
      </c>
      <c r="H43" s="35" t="s">
        <v>268</v>
      </c>
      <c r="I43" s="33" t="s">
        <v>269</v>
      </c>
      <c r="J43" s="36" t="s">
        <v>25</v>
      </c>
      <c r="K43" s="33"/>
      <c r="L43" s="33" t="s">
        <v>27</v>
      </c>
      <c r="M43" s="37">
        <v>46204.0</v>
      </c>
      <c r="N43" s="33" t="s">
        <v>28</v>
      </c>
      <c r="O43" s="34"/>
      <c r="P43" s="33" t="s">
        <v>222</v>
      </c>
    </row>
    <row r="44" ht="15.75" customHeight="1">
      <c r="A44" s="33" t="s">
        <v>253</v>
      </c>
      <c r="B44" s="33" t="s">
        <v>254</v>
      </c>
      <c r="C44" s="33" t="s">
        <v>270</v>
      </c>
      <c r="D44" s="33" t="s">
        <v>271</v>
      </c>
      <c r="E44" s="33" t="s">
        <v>20</v>
      </c>
      <c r="F44" s="34" t="s">
        <v>272</v>
      </c>
      <c r="G44" s="33" t="s">
        <v>273</v>
      </c>
      <c r="H44" s="35" t="s">
        <v>133</v>
      </c>
      <c r="I44" s="33" t="s">
        <v>274</v>
      </c>
      <c r="J44" s="36" t="s">
        <v>25</v>
      </c>
      <c r="K44" s="33"/>
      <c r="L44" s="33" t="s">
        <v>27</v>
      </c>
      <c r="M44" s="37">
        <v>46204.0</v>
      </c>
      <c r="N44" s="33" t="s">
        <v>28</v>
      </c>
      <c r="O44" s="34"/>
      <c r="P44" s="33" t="s">
        <v>222</v>
      </c>
    </row>
    <row r="45" ht="15.75" customHeight="1">
      <c r="A45" s="33" t="s">
        <v>253</v>
      </c>
      <c r="B45" s="33" t="s">
        <v>254</v>
      </c>
      <c r="C45" s="33" t="s">
        <v>275</v>
      </c>
      <c r="D45" s="33" t="s">
        <v>276</v>
      </c>
      <c r="E45" s="33" t="s">
        <v>20</v>
      </c>
      <c r="F45" s="34" t="s">
        <v>277</v>
      </c>
      <c r="G45" s="33" t="s">
        <v>72</v>
      </c>
      <c r="H45" s="35" t="s">
        <v>278</v>
      </c>
      <c r="I45" s="33" t="s">
        <v>279</v>
      </c>
      <c r="J45" s="36" t="s">
        <v>25</v>
      </c>
      <c r="K45" s="33"/>
      <c r="L45" s="33" t="s">
        <v>27</v>
      </c>
      <c r="M45" s="37">
        <v>46204.0</v>
      </c>
      <c r="N45" s="33" t="s">
        <v>28</v>
      </c>
      <c r="O45" s="35" t="s">
        <v>280</v>
      </c>
      <c r="P45" s="33" t="s">
        <v>222</v>
      </c>
    </row>
    <row r="46" ht="15.75" customHeight="1">
      <c r="A46" s="38" t="s">
        <v>281</v>
      </c>
      <c r="B46" s="38" t="s">
        <v>282</v>
      </c>
      <c r="C46" s="38" t="s">
        <v>283</v>
      </c>
      <c r="D46" s="38" t="s">
        <v>284</v>
      </c>
      <c r="E46" s="38" t="s">
        <v>20</v>
      </c>
      <c r="F46" s="39" t="s">
        <v>285</v>
      </c>
      <c r="G46" s="38" t="s">
        <v>286</v>
      </c>
      <c r="H46" s="40" t="s">
        <v>287</v>
      </c>
      <c r="I46" s="38" t="s">
        <v>288</v>
      </c>
      <c r="J46" s="41" t="s">
        <v>25</v>
      </c>
      <c r="K46" s="41"/>
      <c r="L46" s="38" t="s">
        <v>27</v>
      </c>
      <c r="M46" s="42">
        <v>46204.0</v>
      </c>
      <c r="N46" s="38" t="s">
        <v>28</v>
      </c>
      <c r="O46" s="40" t="s">
        <v>168</v>
      </c>
      <c r="P46" s="38" t="s">
        <v>222</v>
      </c>
    </row>
    <row r="47" ht="15.75" customHeight="1">
      <c r="A47" s="38" t="s">
        <v>281</v>
      </c>
      <c r="B47" s="38" t="s">
        <v>282</v>
      </c>
      <c r="C47" s="38" t="s">
        <v>289</v>
      </c>
      <c r="D47" s="38" t="s">
        <v>290</v>
      </c>
      <c r="E47" s="38" t="s">
        <v>20</v>
      </c>
      <c r="F47" s="39" t="s">
        <v>291</v>
      </c>
      <c r="G47" s="38" t="s">
        <v>73</v>
      </c>
      <c r="H47" s="40" t="s">
        <v>292</v>
      </c>
      <c r="I47" s="38" t="s">
        <v>293</v>
      </c>
      <c r="J47" s="41" t="s">
        <v>25</v>
      </c>
      <c r="K47" s="41"/>
      <c r="L47" s="38" t="s">
        <v>27</v>
      </c>
      <c r="M47" s="42">
        <v>46204.0</v>
      </c>
      <c r="N47" s="38" t="s">
        <v>28</v>
      </c>
      <c r="O47" s="40" t="s">
        <v>168</v>
      </c>
      <c r="P47" s="38" t="s">
        <v>222</v>
      </c>
    </row>
    <row r="48" ht="15.75" customHeight="1">
      <c r="A48" s="18" t="s">
        <v>294</v>
      </c>
      <c r="B48" s="18" t="s">
        <v>295</v>
      </c>
      <c r="C48" s="18" t="s">
        <v>296</v>
      </c>
      <c r="D48" s="18" t="s">
        <v>297</v>
      </c>
      <c r="E48" s="18" t="s">
        <v>20</v>
      </c>
      <c r="F48" s="19" t="s">
        <v>298</v>
      </c>
      <c r="G48" s="18" t="s">
        <v>299</v>
      </c>
      <c r="H48" s="20" t="s">
        <v>300</v>
      </c>
      <c r="I48" s="18" t="s">
        <v>301</v>
      </c>
      <c r="J48" s="21" t="s">
        <v>25</v>
      </c>
      <c r="K48" s="18"/>
      <c r="L48" s="18" t="s">
        <v>27</v>
      </c>
      <c r="M48" s="22">
        <v>46204.0</v>
      </c>
      <c r="N48" s="18" t="s">
        <v>28</v>
      </c>
      <c r="O48" s="19"/>
      <c r="P48" s="18" t="s">
        <v>302</v>
      </c>
    </row>
    <row r="49" ht="15.75" customHeight="1">
      <c r="A49" s="18" t="s">
        <v>294</v>
      </c>
      <c r="B49" s="18" t="s">
        <v>295</v>
      </c>
      <c r="C49" s="18" t="s">
        <v>303</v>
      </c>
      <c r="D49" s="18" t="s">
        <v>304</v>
      </c>
      <c r="E49" s="18" t="s">
        <v>20</v>
      </c>
      <c r="F49" s="19" t="s">
        <v>305</v>
      </c>
      <c r="G49" s="18" t="s">
        <v>306</v>
      </c>
      <c r="H49" s="20" t="s">
        <v>73</v>
      </c>
      <c r="I49" s="18" t="s">
        <v>307</v>
      </c>
      <c r="J49" s="21" t="s">
        <v>25</v>
      </c>
      <c r="K49" s="18"/>
      <c r="L49" s="18" t="s">
        <v>27</v>
      </c>
      <c r="M49" s="22">
        <v>46204.0</v>
      </c>
      <c r="N49" s="18" t="s">
        <v>28</v>
      </c>
      <c r="O49" s="19"/>
      <c r="P49" s="18" t="s">
        <v>302</v>
      </c>
    </row>
    <row r="50" ht="15.75" customHeight="1">
      <c r="A50" s="18" t="s">
        <v>294</v>
      </c>
      <c r="B50" s="18" t="s">
        <v>295</v>
      </c>
      <c r="C50" s="18" t="s">
        <v>308</v>
      </c>
      <c r="D50" s="18" t="s">
        <v>309</v>
      </c>
      <c r="E50" s="18" t="s">
        <v>20</v>
      </c>
      <c r="F50" s="19" t="s">
        <v>310</v>
      </c>
      <c r="G50" s="18" t="s">
        <v>306</v>
      </c>
      <c r="H50" s="20" t="s">
        <v>73</v>
      </c>
      <c r="I50" s="18" t="s">
        <v>311</v>
      </c>
      <c r="J50" s="21" t="s">
        <v>25</v>
      </c>
      <c r="K50" s="18"/>
      <c r="L50" s="18" t="s">
        <v>27</v>
      </c>
      <c r="M50" s="22">
        <v>46204.0</v>
      </c>
      <c r="N50" s="18" t="s">
        <v>28</v>
      </c>
      <c r="O50" s="19"/>
      <c r="P50" s="18" t="s">
        <v>302</v>
      </c>
    </row>
    <row r="51" ht="15.75" customHeight="1">
      <c r="A51" s="18" t="s">
        <v>294</v>
      </c>
      <c r="B51" s="18" t="s">
        <v>295</v>
      </c>
      <c r="C51" s="18" t="s">
        <v>312</v>
      </c>
      <c r="D51" s="18" t="s">
        <v>313</v>
      </c>
      <c r="E51" s="18" t="s">
        <v>20</v>
      </c>
      <c r="F51" s="19" t="s">
        <v>314</v>
      </c>
      <c r="G51" s="18" t="s">
        <v>315</v>
      </c>
      <c r="H51" s="20" t="s">
        <v>73</v>
      </c>
      <c r="I51" s="18" t="s">
        <v>316</v>
      </c>
      <c r="J51" s="21" t="s">
        <v>54</v>
      </c>
      <c r="K51" s="21" t="s">
        <v>317</v>
      </c>
      <c r="L51" s="18" t="s">
        <v>27</v>
      </c>
      <c r="M51" s="22">
        <v>46204.0</v>
      </c>
      <c r="N51" s="18" t="s">
        <v>28</v>
      </c>
      <c r="O51" s="19"/>
      <c r="P51" s="18" t="s">
        <v>302</v>
      </c>
    </row>
    <row r="52" ht="15.75" customHeight="1">
      <c r="A52" s="23" t="s">
        <v>318</v>
      </c>
      <c r="B52" s="23" t="s">
        <v>319</v>
      </c>
      <c r="C52" s="23" t="s">
        <v>320</v>
      </c>
      <c r="D52" s="23" t="s">
        <v>321</v>
      </c>
      <c r="E52" s="23" t="s">
        <v>20</v>
      </c>
      <c r="F52" s="24" t="s">
        <v>322</v>
      </c>
      <c r="G52" s="23" t="s">
        <v>306</v>
      </c>
      <c r="H52" s="25" t="s">
        <v>73</v>
      </c>
      <c r="I52" s="23" t="s">
        <v>323</v>
      </c>
      <c r="J52" s="26" t="s">
        <v>25</v>
      </c>
      <c r="K52" s="23"/>
      <c r="L52" s="23" t="s">
        <v>27</v>
      </c>
      <c r="M52" s="27">
        <v>46204.0</v>
      </c>
      <c r="N52" s="23" t="s">
        <v>28</v>
      </c>
      <c r="O52" s="24"/>
      <c r="P52" s="23" t="s">
        <v>302</v>
      </c>
    </row>
    <row r="53" ht="15.75" customHeight="1">
      <c r="A53" s="23" t="s">
        <v>318</v>
      </c>
      <c r="B53" s="23" t="s">
        <v>319</v>
      </c>
      <c r="C53" s="23" t="s">
        <v>324</v>
      </c>
      <c r="D53" s="23" t="s">
        <v>325</v>
      </c>
      <c r="E53" s="23" t="s">
        <v>20</v>
      </c>
      <c r="F53" s="24" t="s">
        <v>326</v>
      </c>
      <c r="G53" s="23" t="s">
        <v>306</v>
      </c>
      <c r="H53" s="25" t="s">
        <v>73</v>
      </c>
      <c r="I53" s="23" t="s">
        <v>327</v>
      </c>
      <c r="J53" s="26" t="s">
        <v>25</v>
      </c>
      <c r="K53" s="26" t="s">
        <v>328</v>
      </c>
      <c r="L53" s="23" t="s">
        <v>27</v>
      </c>
      <c r="M53" s="27">
        <v>46204.0</v>
      </c>
      <c r="N53" s="23" t="s">
        <v>28</v>
      </c>
      <c r="O53" s="24"/>
      <c r="P53" s="23" t="s">
        <v>302</v>
      </c>
    </row>
    <row r="54" ht="15.75" customHeight="1">
      <c r="A54" s="43" t="s">
        <v>329</v>
      </c>
      <c r="B54" s="43" t="s">
        <v>330</v>
      </c>
      <c r="C54" s="43" t="s">
        <v>331</v>
      </c>
      <c r="D54" s="43" t="s">
        <v>332</v>
      </c>
      <c r="E54" s="43" t="s">
        <v>20</v>
      </c>
      <c r="F54" s="44" t="s">
        <v>333</v>
      </c>
      <c r="G54" s="43" t="s">
        <v>334</v>
      </c>
      <c r="H54" s="45" t="s">
        <v>73</v>
      </c>
      <c r="I54" s="43" t="s">
        <v>335</v>
      </c>
      <c r="J54" s="46" t="s">
        <v>25</v>
      </c>
      <c r="K54" s="46" t="s">
        <v>167</v>
      </c>
      <c r="L54" s="43" t="s">
        <v>27</v>
      </c>
      <c r="M54" s="47">
        <v>46204.0</v>
      </c>
      <c r="N54" s="43" t="s">
        <v>28</v>
      </c>
      <c r="O54" s="45" t="s">
        <v>168</v>
      </c>
      <c r="P54" s="43" t="s">
        <v>302</v>
      </c>
    </row>
    <row r="55" ht="15.75" customHeight="1">
      <c r="A55" s="43" t="s">
        <v>329</v>
      </c>
      <c r="B55" s="43" t="s">
        <v>330</v>
      </c>
      <c r="C55" s="43" t="s">
        <v>336</v>
      </c>
      <c r="D55" s="43" t="s">
        <v>337</v>
      </c>
      <c r="E55" s="43" t="s">
        <v>20</v>
      </c>
      <c r="F55" s="44" t="s">
        <v>338</v>
      </c>
      <c r="G55" s="43" t="s">
        <v>339</v>
      </c>
      <c r="H55" s="45" t="s">
        <v>340</v>
      </c>
      <c r="I55" s="43" t="s">
        <v>341</v>
      </c>
      <c r="J55" s="46" t="s">
        <v>25</v>
      </c>
      <c r="K55" s="46" t="s">
        <v>167</v>
      </c>
      <c r="L55" s="43" t="s">
        <v>27</v>
      </c>
      <c r="M55" s="47">
        <v>46204.0</v>
      </c>
      <c r="N55" s="43" t="s">
        <v>28</v>
      </c>
      <c r="O55" s="45" t="s">
        <v>168</v>
      </c>
      <c r="P55" s="43" t="s">
        <v>302</v>
      </c>
    </row>
    <row r="56" ht="15.75" customHeight="1">
      <c r="A56" s="8" t="s">
        <v>342</v>
      </c>
      <c r="B56" s="8" t="s">
        <v>343</v>
      </c>
      <c r="C56" s="8" t="s">
        <v>344</v>
      </c>
      <c r="D56" s="8" t="s">
        <v>345</v>
      </c>
      <c r="E56" s="8" t="s">
        <v>20</v>
      </c>
      <c r="F56" s="12" t="s">
        <v>346</v>
      </c>
      <c r="G56" s="8" t="s">
        <v>73</v>
      </c>
      <c r="H56" s="9" t="s">
        <v>73</v>
      </c>
      <c r="I56" s="8" t="s">
        <v>347</v>
      </c>
      <c r="J56" s="10" t="s">
        <v>25</v>
      </c>
      <c r="K56" s="8"/>
      <c r="L56" s="8" t="s">
        <v>27</v>
      </c>
      <c r="M56" s="11">
        <v>46204.0</v>
      </c>
      <c r="N56" s="8" t="s">
        <v>28</v>
      </c>
      <c r="O56" s="12"/>
      <c r="P56" s="8" t="s">
        <v>29</v>
      </c>
    </row>
    <row r="57" ht="15.75" customHeight="1">
      <c r="A57" s="8" t="s">
        <v>342</v>
      </c>
      <c r="B57" s="8" t="s">
        <v>343</v>
      </c>
      <c r="C57" s="8" t="s">
        <v>348</v>
      </c>
      <c r="D57" s="8" t="s">
        <v>349</v>
      </c>
      <c r="E57" s="8" t="s">
        <v>20</v>
      </c>
      <c r="F57" s="12" t="s">
        <v>350</v>
      </c>
      <c r="G57" s="8" t="s">
        <v>73</v>
      </c>
      <c r="H57" s="9" t="s">
        <v>73</v>
      </c>
      <c r="I57" s="8" t="s">
        <v>351</v>
      </c>
      <c r="J57" s="10" t="s">
        <v>25</v>
      </c>
      <c r="K57" s="8"/>
      <c r="L57" s="8" t="s">
        <v>27</v>
      </c>
      <c r="M57" s="11">
        <v>46204.0</v>
      </c>
      <c r="N57" s="8" t="s">
        <v>28</v>
      </c>
      <c r="O57" s="12"/>
      <c r="P57" s="8" t="s">
        <v>29</v>
      </c>
    </row>
    <row r="58" ht="15.75" customHeight="1">
      <c r="A58" s="8" t="s">
        <v>342</v>
      </c>
      <c r="B58" s="8" t="s">
        <v>343</v>
      </c>
      <c r="C58" s="8" t="s">
        <v>352</v>
      </c>
      <c r="D58" s="8" t="s">
        <v>353</v>
      </c>
      <c r="E58" s="8" t="s">
        <v>20</v>
      </c>
      <c r="F58" s="12" t="s">
        <v>354</v>
      </c>
      <c r="G58" s="8" t="s">
        <v>73</v>
      </c>
      <c r="H58" s="9" t="s">
        <v>355</v>
      </c>
      <c r="I58" s="8" t="s">
        <v>356</v>
      </c>
      <c r="J58" s="10" t="s">
        <v>25</v>
      </c>
      <c r="K58" s="8"/>
      <c r="L58" s="8" t="s">
        <v>27</v>
      </c>
      <c r="M58" s="11">
        <v>46204.0</v>
      </c>
      <c r="N58" s="8" t="s">
        <v>28</v>
      </c>
      <c r="O58" s="12"/>
      <c r="P58" s="8" t="s">
        <v>29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58">
      <formula1>"Pass,Fail,Blocked,Skipped"</formula1>
    </dataValidation>
    <dataValidation type="custom" allowBlank="1" showDropDown="1" showErrorMessage="1" sqref="M2:M58">
      <formula1>OR(NOT(ISERROR(DATEVALUE(M2))), AND(ISNUMBER(M2), LEFT(CELL("format", M2))="D"))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9.22"/>
    <col customWidth="1" min="2" max="2" width="19.89"/>
    <col customWidth="1" min="3" max="3" width="38.33"/>
    <col customWidth="1" min="4" max="4" width="31.56"/>
    <col customWidth="1" min="5" max="5" width="71.89"/>
    <col customWidth="1" min="6" max="6" width="34.89"/>
    <col customWidth="1" min="8" max="8" width="26.33"/>
  </cols>
  <sheetData>
    <row r="2">
      <c r="A2" s="48" t="s">
        <v>357</v>
      </c>
    </row>
    <row r="5">
      <c r="A5" s="49" t="s">
        <v>358</v>
      </c>
      <c r="B5" s="50">
        <f>COUNTA(B8:B1000)</f>
        <v>57</v>
      </c>
      <c r="C5" s="49" t="s">
        <v>359</v>
      </c>
      <c r="D5" s="50">
        <f>COUNTIF(F8:F1000, "Pass")</f>
        <v>57</v>
      </c>
      <c r="E5" s="49" t="s">
        <v>360</v>
      </c>
      <c r="F5" s="50">
        <f>COUNTIF(F8:F1000, "Fail")</f>
        <v>0</v>
      </c>
      <c r="G5" s="49" t="s">
        <v>361</v>
      </c>
      <c r="H5" s="50">
        <f>COUNTIF(F8:F1000, "Pending")</f>
        <v>0</v>
      </c>
    </row>
    <row r="6">
      <c r="A6" s="49" t="s">
        <v>362</v>
      </c>
      <c r="B6" s="51">
        <f>IF(B5=0, 0, D5/B5)</f>
        <v>1</v>
      </c>
    </row>
    <row r="7">
      <c r="A7" s="52" t="s">
        <v>363</v>
      </c>
      <c r="B7" s="52" t="s">
        <v>364</v>
      </c>
      <c r="C7" s="52" t="s">
        <v>365</v>
      </c>
      <c r="D7" s="52" t="s">
        <v>366</v>
      </c>
      <c r="E7" s="52" t="s">
        <v>367</v>
      </c>
      <c r="F7" s="52" t="s">
        <v>368</v>
      </c>
      <c r="G7" s="52" t="s">
        <v>369</v>
      </c>
      <c r="H7" s="52" t="s">
        <v>370</v>
      </c>
    </row>
    <row r="8">
      <c r="A8" s="53" t="str">
        <f>IFERROR(__xludf.DUMMYFUNCTION("QUERY('Test Cases - update 1'!A2:I1000, ""SELECT B, C, D, F, I WHERE C IS NOT NULL"", 0)"),"Authentication")</f>
        <v>Authentication</v>
      </c>
      <c r="B8" s="53" t="str">
        <f>IFERROR(__xludf.DUMMYFUNCTION("""COMPUTED_VALUE"""),"TC-001")</f>
        <v>TC-001</v>
      </c>
      <c r="C8" s="53" t="str">
        <f>IFERROR(__xludf.DUMMYFUNCTION("""COMPUTED_VALUE"""),"Register akun baru dengan data valid")</f>
        <v>Register akun baru dengan data valid</v>
      </c>
      <c r="D8" s="53" t="str">
        <f>IFERROR(__xludf.DUMMYFUNCTION("""COMPUTED_VALUE"""),"1. Buka halaman /register
2. Isi Username (min 3 karakter)
3. Isi Email valid
4. Isi Password (min 8 karakter)
5. Isi Konfirmasi Password sama
6. Klik tombol ""Sign up""")</f>
        <v>1. Buka halaman /register
2. Isi Username (min 3 karakter)
3. Isi Email valid
4. Isi Password (min 8 karakter)
5. Isi Konfirmasi Password sama
6. Klik tombol "Sign up"</v>
      </c>
      <c r="E8" s="53" t="str">
        <f>IFERROR(__xludf.DUMMYFUNCTION("""COMPUTED_VALUE"""),"Muncul pesan ""Cek Email Anda"" dan tampil instruksi verifikasi email")</f>
        <v>Muncul pesan "Cek Email Anda" dan tampil instruksi verifikasi email</v>
      </c>
      <c r="F8" s="54" t="s">
        <v>25</v>
      </c>
      <c r="G8" s="53"/>
      <c r="H8" s="53"/>
    </row>
    <row r="9">
      <c r="A9" s="53" t="str">
        <f>IFERROR(__xludf.DUMMYFUNCTION("""COMPUTED_VALUE"""),"Authentication")</f>
        <v>Authentication</v>
      </c>
      <c r="B9" s="53" t="str">
        <f>IFERROR(__xludf.DUMMYFUNCTION("""COMPUTED_VALUE"""),"TC-002")</f>
        <v>TC-002</v>
      </c>
      <c r="C9" s="53" t="str">
        <f>IFERROR(__xludf.DUMMYFUNCTION("""COMPUTED_VALUE"""),"Register dengan username kurang dari 3 karakter")</f>
        <v>Register dengan username kurang dari 3 karakter</v>
      </c>
      <c r="D9" s="53" t="str">
        <f>IFERROR(__xludf.DUMMYFUNCTION("""COMPUTED_VALUE"""),"1. Buka /register
2. Isi Username: ""ab"" (2 karakter)
3. Isi field lainnya valid
4. Klik ""Sign up""")</f>
        <v>1. Buka /register
2. Isi Username: "ab" (2 karakter)
3. Isi field lainnya valid
4. Klik "Sign up"</v>
      </c>
      <c r="E9" s="53" t="str">
        <f>IFERROR(__xludf.DUMMYFUNCTION("""COMPUTED_VALUE"""),"Muncul pesan error inline ""Username minimal 3 karakter"" di bawah field Username")</f>
        <v>Muncul pesan error inline "Username minimal 3 karakter" di bawah field Username</v>
      </c>
      <c r="F9" s="54" t="s">
        <v>25</v>
      </c>
      <c r="G9" s="53"/>
      <c r="H9" s="53"/>
    </row>
    <row r="10">
      <c r="A10" s="53" t="str">
        <f>IFERROR(__xludf.DUMMYFUNCTION("""COMPUTED_VALUE"""),"Authentication")</f>
        <v>Authentication</v>
      </c>
      <c r="B10" s="53" t="str">
        <f>IFERROR(__xludf.DUMMYFUNCTION("""COMPUTED_VALUE"""),"TC-003")</f>
        <v>TC-003</v>
      </c>
      <c r="C10" s="53" t="str">
        <f>IFERROR(__xludf.DUMMYFUNCTION("""COMPUTED_VALUE"""),"Register dengan email sudah terdaftar")</f>
        <v>Register dengan email sudah terdaftar</v>
      </c>
      <c r="D10" s="53" t="str">
        <f>IFERROR(__xludf.DUMMYFUNCTION("""COMPUTED_VALUE"""),"1. Buka /register
2. Isi email yang sudah ada di sistem
3. Isi field lain valid
4. Klik ""Sign up""")</f>
        <v>1. Buka /register
2. Isi email yang sudah ada di sistem
3. Isi field lain valid
4. Klik "Sign up"</v>
      </c>
      <c r="E10" s="53" t="str">
        <f>IFERROR(__xludf.DUMMYFUNCTION("""COMPUTED_VALUE"""),"Muncul pesan error di bagian atas form (kotak merah) bahwa email sudah digunakan")</f>
        <v>Muncul pesan error di bagian atas form (kotak merah) bahwa email sudah digunakan</v>
      </c>
      <c r="F10" s="54" t="s">
        <v>25</v>
      </c>
      <c r="G10" s="53"/>
      <c r="H10" s="53"/>
    </row>
    <row r="11">
      <c r="A11" s="53" t="str">
        <f>IFERROR(__xludf.DUMMYFUNCTION("""COMPUTED_VALUE"""),"Authentication")</f>
        <v>Authentication</v>
      </c>
      <c r="B11" s="53" t="str">
        <f>IFERROR(__xludf.DUMMYFUNCTION("""COMPUTED_VALUE"""),"TC-004")</f>
        <v>TC-004</v>
      </c>
      <c r="C11" s="53" t="str">
        <f>IFERROR(__xludf.DUMMYFUNCTION("""COMPUTED_VALUE"""),"Register password tidak cocok dengan konfirmasi")</f>
        <v>Register password tidak cocok dengan konfirmasi</v>
      </c>
      <c r="D11" s="53" t="str">
        <f>IFERROR(__xludf.DUMMYFUNCTION("""COMPUTED_VALUE"""),"1. Buka /register
2. Isi Password: ""Test@1234""
3. Isi Konfirmasi Password: ""Test@5678""
4. Klik ""Sign up""")</f>
        <v>1. Buka /register
2. Isi Password: "Test@1234"
3. Isi Konfirmasi Password: "Test@5678"
4. Klik "Sign up"</v>
      </c>
      <c r="E11" s="53" t="str">
        <f>IFERROR(__xludf.DUMMYFUNCTION("""COMPUTED_VALUE"""),"Muncul pesan error ""Password tidak cocok"" di bawah field Konfirmasi Password")</f>
        <v>Muncul pesan error "Password tidak cocok" di bawah field Konfirmasi Password</v>
      </c>
      <c r="F11" s="54" t="s">
        <v>25</v>
      </c>
      <c r="G11" s="53"/>
      <c r="H11" s="53"/>
    </row>
    <row r="12">
      <c r="A12" s="53" t="str">
        <f>IFERROR(__xludf.DUMMYFUNCTION("""COMPUTED_VALUE"""),"Authentication")</f>
        <v>Authentication</v>
      </c>
      <c r="B12" s="53" t="str">
        <f>IFERROR(__xludf.DUMMYFUNCTION("""COMPUTED_VALUE"""),"TC-005")</f>
        <v>TC-005</v>
      </c>
      <c r="C12" s="53" t="str">
        <f>IFERROR(__xludf.DUMMYFUNCTION("""COMPUTED_VALUE"""),"Login dengan email &amp; password yang benar")</f>
        <v>Login dengan email &amp; password yang benar</v>
      </c>
      <c r="D12" s="53" t="str">
        <f>IFERROR(__xludf.DUMMYFUNCTION("""COMPUTED_VALUE"""),"1. Buka /login
2. Isi Email dengan akun terverifikasi
3. Isi Password yang benar
4. Klik ""Log in""")</f>
        <v>1. Buka /login
2. Isi Email dengan akun terverifikasi
3. Isi Password yang benar
4. Klik "Log in"</v>
      </c>
      <c r="E12" s="53" t="str">
        <f>IFERROR(__xludf.DUMMYFUNCTION("""COMPUTED_VALUE"""),"Berhasil login, diarahkan ke halaman sebelumnya atau Beranda. Nama user muncul di navbar.")</f>
        <v>Berhasil login, diarahkan ke halaman sebelumnya atau Beranda. Nama user muncul di navbar.</v>
      </c>
      <c r="F12" s="54" t="s">
        <v>25</v>
      </c>
      <c r="G12" s="53"/>
      <c r="H12" s="53"/>
    </row>
    <row r="13">
      <c r="A13" s="53" t="str">
        <f>IFERROR(__xludf.DUMMYFUNCTION("""COMPUTED_VALUE"""),"Authentication")</f>
        <v>Authentication</v>
      </c>
      <c r="B13" s="53" t="str">
        <f>IFERROR(__xludf.DUMMYFUNCTION("""COMPUTED_VALUE"""),"TC-006")</f>
        <v>TC-006</v>
      </c>
      <c r="C13" s="53" t="str">
        <f>IFERROR(__xludf.DUMMYFUNCTION("""COMPUTED_VALUE"""),"Login dengan password salah")</f>
        <v>Login dengan password salah</v>
      </c>
      <c r="D13" s="53" t="str">
        <f>IFERROR(__xludf.DUMMYFUNCTION("""COMPUTED_VALUE"""),"1. Buka /login
2. Isi Email yang ada di sistem
3. Isi Password yang SALAH
4. Klik ""Log in""")</f>
        <v>1. Buka /login
2. Isi Email yang ada di sistem
3. Isi Password yang SALAH
4. Klik "Log in"</v>
      </c>
      <c r="E13" s="53" t="str">
        <f>IFERROR(__xludf.DUMMYFUNCTION("""COMPUTED_VALUE"""),"Muncul pesan error di kotak merah atas form (misal: ""email or password is incorrect"")")</f>
        <v>Muncul pesan error di kotak merah atas form (misal: "email or password is incorrect")</v>
      </c>
      <c r="F13" s="54" t="s">
        <v>25</v>
      </c>
      <c r="G13" s="53"/>
      <c r="H13" s="53"/>
    </row>
    <row r="14">
      <c r="A14" s="53" t="str">
        <f>IFERROR(__xludf.DUMMYFUNCTION("""COMPUTED_VALUE"""),"Authentication")</f>
        <v>Authentication</v>
      </c>
      <c r="B14" s="53" t="str">
        <f>IFERROR(__xludf.DUMMYFUNCTION("""COMPUTED_VALUE"""),"TC-007")</f>
        <v>TC-007</v>
      </c>
      <c r="C14" s="53" t="str">
        <f>IFERROR(__xludf.DUMMYFUNCTION("""COMPUTED_VALUE"""),"Login dengan email yang tidak terdaftar")</f>
        <v>Login dengan email yang tidak terdaftar</v>
      </c>
      <c r="D14" s="53" t="str">
        <f>IFERROR(__xludf.DUMMYFUNCTION("""COMPUTED_VALUE"""),"1. Buka /login
2. Isi Email yang belum terdaftar
3. Isi Password apapun
4. Klik ""Log in""")</f>
        <v>1. Buka /login
2. Isi Email yang belum terdaftar
3. Isi Password apapun
4. Klik "Log in"</v>
      </c>
      <c r="E14" s="53" t="str">
        <f>IFERROR(__xludf.DUMMYFUNCTION("""COMPUTED_VALUE"""),"Muncul pesan error (401 Unauthorized) di form login")</f>
        <v>Muncul pesan error (401 Unauthorized) di form login</v>
      </c>
      <c r="F14" s="54" t="s">
        <v>25</v>
      </c>
      <c r="G14" s="53"/>
      <c r="H14" s="53"/>
    </row>
    <row r="15">
      <c r="A15" s="53" t="str">
        <f>IFERROR(__xludf.DUMMYFUNCTION("""COMPUTED_VALUE"""),"Authentication")</f>
        <v>Authentication</v>
      </c>
      <c r="B15" s="53" t="str">
        <f>IFERROR(__xludf.DUMMYFUNCTION("""COMPUTED_VALUE"""),"TC-008")</f>
        <v>TC-008</v>
      </c>
      <c r="C15" s="53" t="str">
        <f>IFERROR(__xludf.DUMMYFUNCTION("""COMPUTED_VALUE"""),"Logout dari akun")</f>
        <v>Logout dari akun</v>
      </c>
      <c r="D15" s="53" t="str">
        <f>IFERROR(__xludf.DUMMYFUNCTION("""COMPUTED_VALUE"""),"1. Pastikan sudah login
2. Buka halaman /settings/profile
3. Scroll ke bawah ke bagian ""Sesi Akun""
4. Klik tombol ""Keluar""
5. Konfirmasi pada dialog popup")</f>
        <v>1. Pastikan sudah login
2. Buka halaman /settings/profile
3. Scroll ke bawah ke bagian "Sesi Akun"
4. Klik tombol "Keluar"
5. Konfirmasi pada dialog popup</v>
      </c>
      <c r="E15" s="53" t="str">
        <f>IFERROR(__xludf.DUMMYFUNCTION("""COMPUTED_VALUE"""),"Sesi berakhir, diarahkan ke halaman ""/"" (Beranda). Tombol login/daftar muncul kembali di navbar.")</f>
        <v>Sesi berakhir, diarahkan ke halaman "/" (Beranda). Tombol login/daftar muncul kembali di navbar.</v>
      </c>
      <c r="F15" s="54" t="s">
        <v>25</v>
      </c>
      <c r="G15" s="53"/>
      <c r="H15" s="53"/>
    </row>
    <row r="16">
      <c r="A16" s="53" t="str">
        <f>IFERROR(__xludf.DUMMYFUNCTION("""COMPUTED_VALUE"""),"Authentication")</f>
        <v>Authentication</v>
      </c>
      <c r="B16" s="53" t="str">
        <f>IFERROR(__xludf.DUMMYFUNCTION("""COMPUTED_VALUE"""),"TC-009")</f>
        <v>TC-009</v>
      </c>
      <c r="C16" s="53" t="str">
        <f>IFERROR(__xludf.DUMMYFUNCTION("""COMPUTED_VALUE"""),"Akses halaman terproteksi tanpa login")</f>
        <v>Akses halaman terproteksi tanpa login</v>
      </c>
      <c r="D16" s="53" t="str">
        <f>IFERROR(__xludf.DUMMYFUNCTION("""COMPUTED_VALUE"""),"1. Pastikan tidak sedang login (atau buka incognito)
2. Coba akses URL: /thread/slug
3. Coba akses URL: /notifications
4. Coba akses URL: /settings/bookmarks")</f>
        <v>1. Pastikan tidak sedang login (atau buka incognito)
2. Coba akses URL: /thread/slug
3. Coba akses URL: /notifications
4. Coba akses URL: /settings/bookmarks</v>
      </c>
      <c r="E16" s="53" t="str">
        <f>IFERROR(__xludf.DUMMYFUNCTION("""COMPUTED_VALUE"""),"Setiap URL terproteksi diarahkan otomatis ke halaman /login")</f>
        <v>Setiap URL terproteksi diarahkan otomatis ke halaman /login</v>
      </c>
      <c r="F16" s="54" t="s">
        <v>25</v>
      </c>
      <c r="G16" s="53"/>
      <c r="H16" s="53"/>
    </row>
    <row r="17">
      <c r="A17" s="53" t="str">
        <f>IFERROR(__xludf.DUMMYFUNCTION("""COMPUTED_VALUE"""),"Thread Management")</f>
        <v>Thread Management</v>
      </c>
      <c r="B17" s="53" t="str">
        <f>IFERROR(__xludf.DUMMYFUNCTION("""COMPUTED_VALUE"""),"TC-010")</f>
        <v>TC-010</v>
      </c>
      <c r="C17" s="53" t="str">
        <f>IFERROR(__xludf.DUMMYFUNCTION("""COMPUTED_VALUE"""),"Melihat daftar thread di Beranda")</f>
        <v>Melihat daftar thread di Beranda</v>
      </c>
      <c r="D17" s="53" t="str">
        <f>IFERROR(__xludf.DUMMYFUNCTION("""COMPUTED_VALUE"""),"1. Buka URL: / 
2. Amati halaman")</f>
        <v>1. Buka URL: / 
2. Amati halaman</v>
      </c>
      <c r="E17" s="53" t="str">
        <f>IFERROR(__xludf.DUMMYFUNCTION("""COMPUTED_VALUE"""),"Daftar thread tampil, masing-masing menampilkan: judul, nama user, kategori, tanggal, jumlah komentar, upvote, dan ikon bookmark")</f>
        <v>Daftar thread tampil, masing-masing menampilkan: judul, nama user, kategori, tanggal, jumlah komentar, upvote, dan ikon bookmark</v>
      </c>
      <c r="F17" s="54" t="s">
        <v>25</v>
      </c>
      <c r="G17" s="53"/>
      <c r="H17" s="53"/>
    </row>
    <row r="18">
      <c r="A18" s="53" t="str">
        <f>IFERROR(__xludf.DUMMYFUNCTION("""COMPUTED_VALUE"""),"Thread Management")</f>
        <v>Thread Management</v>
      </c>
      <c r="B18" s="53" t="str">
        <f>IFERROR(__xludf.DUMMYFUNCTION("""COMPUTED_VALUE"""),"TC-011")</f>
        <v>TC-011</v>
      </c>
      <c r="C18" s="53" t="str">
        <f>IFERROR(__xludf.DUMMYFUNCTION("""COMPUTED_VALUE"""),"Membuat thread baru dengan data valid")</f>
        <v>Membuat thread baru dengan data valid</v>
      </c>
      <c r="D18" s="53" t="str">
        <f>IFERROR(__xludf.DUMMYFUNCTION("""COMPUTED_VALUE"""),"1. Login sebagai user biasa
2. Klik tombol ""+ Thread Baru"" di navbar
3. Isi Judul (min 5 karakter)
4. Pilih Kategori dari dropdown
5. Isi Isi Diskusi (min 10 karakter)
6. Isi Tag (opsional)
7. Klik ""Posting Diskusi""")</f>
        <v>1. Login sebagai user biasa
2. Klik tombol "+ Thread Baru" di navbar
3. Isi Judul (min 5 karakter)
4. Pilih Kategori dari dropdown
5. Isi Isi Diskusi (min 10 karakter)
6. Isi Tag (opsional)
7. Klik "Posting Diskusi"</v>
      </c>
      <c r="E18" s="53" t="str">
        <f>IFERROR(__xludf.DUMMYFUNCTION("""COMPUTED_VALUE"""),"Thread berhasil dibuat, diarahkan ke halaman detail thread yang baru. Thread muncul di Beranda.")</f>
        <v>Thread berhasil dibuat, diarahkan ke halaman detail thread yang baru. Thread muncul di Beranda.</v>
      </c>
      <c r="F18" s="54" t="s">
        <v>25</v>
      </c>
      <c r="G18" s="53"/>
      <c r="H18" s="53"/>
    </row>
    <row r="19">
      <c r="A19" s="53" t="str">
        <f>IFERROR(__xludf.DUMMYFUNCTION("""COMPUTED_VALUE"""),"Thread Management")</f>
        <v>Thread Management</v>
      </c>
      <c r="B19" s="53" t="str">
        <f>IFERROR(__xludf.DUMMYFUNCTION("""COMPUTED_VALUE"""),"TC-012")</f>
        <v>TC-012</v>
      </c>
      <c r="C19" s="53" t="str">
        <f>IFERROR(__xludf.DUMMYFUNCTION("""COMPUTED_VALUE"""),"Membuat thread dengan judul kurang dari 5 karakter")</f>
        <v>Membuat thread dengan judul kurang dari 5 karakter</v>
      </c>
      <c r="D19" s="53" t="str">
        <f>IFERROR(__xludf.DUMMYFUNCTION("""COMPUTED_VALUE"""),"1. Login
2. Klik ""+ Thread Baru""
3. Isi Judul: ""Hi""
4. Pilih Kategori
5. Isi Konten valid
6. Klik ""Posting Diskusi""")</f>
        <v>1. Login
2. Klik "+ Thread Baru"
3. Isi Judul: "Hi"
4. Pilih Kategori
5. Isi Konten valid
6. Klik "Posting Diskusi"</v>
      </c>
      <c r="E19" s="53" t="str">
        <f>IFERROR(__xludf.DUMMYFUNCTION("""COMPUTED_VALUE"""),"Muncul pesan error inline ""Judul minimal 5 karakter"" di bawah field Judul. Thread tidak ter-submit.")</f>
        <v>Muncul pesan error inline "Judul minimal 5 karakter" di bawah field Judul. Thread tidak ter-submit.</v>
      </c>
      <c r="F19" s="54" t="s">
        <v>25</v>
      </c>
      <c r="G19" s="53"/>
      <c r="H19" s="53"/>
    </row>
    <row r="20">
      <c r="A20" s="53" t="str">
        <f>IFERROR(__xludf.DUMMYFUNCTION("""COMPUTED_VALUE"""),"Thread Management")</f>
        <v>Thread Management</v>
      </c>
      <c r="B20" s="53" t="str">
        <f>IFERROR(__xludf.DUMMYFUNCTION("""COMPUTED_VALUE"""),"TC-013")</f>
        <v>TC-013</v>
      </c>
      <c r="C20" s="53" t="str">
        <f>IFERROR(__xludf.DUMMYFUNCTION("""COMPUTED_VALUE"""),"Membuat thread tanpa memilih kategori")</f>
        <v>Membuat thread tanpa memilih kategori</v>
      </c>
      <c r="D20" s="53" t="str">
        <f>IFERROR(__xludf.DUMMYFUNCTION("""COMPUTED_VALUE"""),"1. Login
2. Klik ""+ Thread Baru""
3. Isi Judul dan Konten valid
4. Biarkan Kategori pada pilihan default (""Pilih Kategori"")
5. Klik ""Posting Diskusi""")</f>
        <v>1. Login
2. Klik "+ Thread Baru"
3. Isi Judul dan Konten valid
4. Biarkan Kategori pada pilihan default ("Pilih Kategori")
5. Klik "Posting Diskusi"</v>
      </c>
      <c r="E20" s="53" t="str">
        <f>IFERROR(__xludf.DUMMYFUNCTION("""COMPUTED_VALUE"""),"Muncul pesan error ""Kategori wajib dipilih"". Thread tidak ter-submit.")</f>
        <v>Muncul pesan error "Kategori wajib dipilih". Thread tidak ter-submit.</v>
      </c>
      <c r="F20" s="54" t="s">
        <v>25</v>
      </c>
      <c r="G20" s="53"/>
      <c r="H20" s="53"/>
    </row>
    <row r="21">
      <c r="A21" s="53" t="str">
        <f>IFERROR(__xludf.DUMMYFUNCTION("""COMPUTED_VALUE"""),"Thread Management")</f>
        <v>Thread Management</v>
      </c>
      <c r="B21" s="53" t="str">
        <f>IFERROR(__xludf.DUMMYFUNCTION("""COMPUTED_VALUE"""),"TC-014")</f>
        <v>TC-014</v>
      </c>
      <c r="C21" s="53" t="str">
        <f>IFERROR(__xludf.DUMMYFUNCTION("""COMPUTED_VALUE"""),"Melihat detail thread")</f>
        <v>Melihat detail thread</v>
      </c>
      <c r="D21" s="53" t="str">
        <f>IFERROR(__xludf.DUMMYFUNCTION("""COMPUTED_VALUE"""),"1. Dari halaman Beranda, klik judul salah satu thread")</f>
        <v>1. Dari halaman Beranda, klik judul salah satu thread</v>
      </c>
      <c r="E21" s="53" t="str">
        <f>IFERROR(__xludf.DUMMYFUNCTION("""COMPUTED_VALUE"""),"Halaman detail thread terbuka. Menampilkan: judul, konten (render markdown), info penulis, kategori, tags, action bar (komentar, view, vote, bookmark), dan seksi komentar.")</f>
        <v>Halaman detail thread terbuka. Menampilkan: judul, konten (render markdown), info penulis, kategori, tags, action bar (komentar, view, vote, bookmark), dan seksi komentar.</v>
      </c>
      <c r="F21" s="54" t="s">
        <v>25</v>
      </c>
      <c r="G21" s="53"/>
      <c r="H21" s="53"/>
    </row>
    <row r="22">
      <c r="A22" s="53" t="str">
        <f>IFERROR(__xludf.DUMMYFUNCTION("""COMPUTED_VALUE"""),"Thread Management")</f>
        <v>Thread Management</v>
      </c>
      <c r="B22" s="53" t="str">
        <f>IFERROR(__xludf.DUMMYFUNCTION("""COMPUTED_VALUE"""),"TC-015")</f>
        <v>TC-015</v>
      </c>
      <c r="C22" s="53" t="str">
        <f>IFERROR(__xludf.DUMMYFUNCTION("""COMPUTED_VALUE"""),"Edit thread milik sendiri")</f>
        <v>Edit thread milik sendiri</v>
      </c>
      <c r="D22" s="53" t="str">
        <f>IFERROR(__xludf.DUMMYFUNCTION("""COMPUTED_VALUE"""),"1. Login sebagai pemilik thread
2. Buka halaman detail thread milik Anda
3. Klik ikon pensil (Edit)
4. Ubah judul atau konten
5. Klik ""Simpan Perubahan""")</f>
        <v>1. Login sebagai pemilik thread
2. Buka halaman detail thread milik Anda
3. Klik ikon pensil (Edit)
4. Ubah judul atau konten
5. Klik "Simpan Perubahan"</v>
      </c>
      <c r="E22" s="53" t="str">
        <f>IFERROR(__xludf.DUMMYFUNCTION("""COMPUTED_VALUE"""),"Perubahan tersimpan. Halaman kembali ke detail thread dengan judul/konten yang sudah diperbarui.")</f>
        <v>Perubahan tersimpan. Halaman kembali ke detail thread dengan judul/konten yang sudah diperbarui.</v>
      </c>
      <c r="F22" s="54" t="s">
        <v>25</v>
      </c>
      <c r="G22" s="53"/>
      <c r="H22" s="53"/>
    </row>
    <row r="23">
      <c r="A23" s="53" t="str">
        <f>IFERROR(__xludf.DUMMYFUNCTION("""COMPUTED_VALUE"""),"Thread Management")</f>
        <v>Thread Management</v>
      </c>
      <c r="B23" s="53" t="str">
        <f>IFERROR(__xludf.DUMMYFUNCTION("""COMPUTED_VALUE"""),"TC-016")</f>
        <v>TC-016</v>
      </c>
      <c r="C23" s="53" t="str">
        <f>IFERROR(__xludf.DUMMYFUNCTION("""COMPUTED_VALUE"""),"Hapus thread milik sendiri")</f>
        <v>Hapus thread milik sendiri</v>
      </c>
      <c r="D23" s="53" t="str">
        <f>IFERROR(__xludf.DUMMYFUNCTION("""COMPUTED_VALUE"""),"1. Login sebagai pemilik thread
2. Buka halaman detail thread milik Anda
3. Klik ikon tempat sampah (Hapus)
4. Konfirmasi pada popup dialog")</f>
        <v>1. Login sebagai pemilik thread
2. Buka halaman detail thread milik Anda
3. Klik ikon tempat sampah (Hapus)
4. Konfirmasi pada popup dialog</v>
      </c>
      <c r="E23" s="53" t="str">
        <f>IFERROR(__xludf.DUMMYFUNCTION("""COMPUTED_VALUE"""),"Thread terhapus. Diarahkan kembali ke Beranda. Thread tidak lagi muncul di daftar.")</f>
        <v>Thread terhapus. Diarahkan kembali ke Beranda. Thread tidak lagi muncul di daftar.</v>
      </c>
      <c r="F23" s="54" t="s">
        <v>25</v>
      </c>
      <c r="G23" s="53"/>
      <c r="H23" s="53"/>
    </row>
    <row r="24">
      <c r="A24" s="53" t="str">
        <f>IFERROR(__xludf.DUMMYFUNCTION("""COMPUTED_VALUE"""),"Thread Management")</f>
        <v>Thread Management</v>
      </c>
      <c r="B24" s="53" t="str">
        <f>IFERROR(__xludf.DUMMYFUNCTION("""COMPUTED_VALUE"""),"TC-017")</f>
        <v>TC-017</v>
      </c>
      <c r="C24" s="53" t="str">
        <f>IFERROR(__xludf.DUMMYFUNCTION("""COMPUTED_VALUE"""),"Unggah gambar ke konten thread")</f>
        <v>Unggah gambar ke konten thread</v>
      </c>
      <c r="D24" s="53" t="str">
        <f>IFERROR(__xludf.DUMMYFUNCTION("""COMPUTED_VALUE"""),"1. Login
2. Klik ""+ Thread Baru""
3. Di area Isi Diskusi, klik ikon gambar (unggah gambar)
4. Pilih file gambar valid (JPG/PNG, &lt; 2MB)
5. Tunggu selesai upload")</f>
        <v>1. Login
2. Klik "+ Thread Baru"
3. Di area Isi Diskusi, klik ikon gambar (unggah gambar)
4. Pilih file gambar valid (JPG/PNG, &lt; 2MB)
5. Tunggu selesai upload</v>
      </c>
      <c r="E24" s="53" t="str">
        <f>IFERROR(__xludf.DUMMYFUNCTION("""COMPUTED_VALUE"""),"Gambar berhasil diunggah. URL gambar otomatis dimasukkan ke dalam konten dalam format Markdown: ![image](url)")</f>
        <v>Gambar berhasil diunggah. URL gambar otomatis dimasukkan ke dalam konten dalam format Markdown: ![image](url)</v>
      </c>
      <c r="F24" s="54" t="s">
        <v>25</v>
      </c>
      <c r="G24" s="53"/>
      <c r="H24" s="53"/>
    </row>
    <row r="25">
      <c r="A25" s="53" t="str">
        <f>IFERROR(__xludf.DUMMYFUNCTION("""COMPUTED_VALUE"""),"Thread Management")</f>
        <v>Thread Management</v>
      </c>
      <c r="B25" s="53" t="str">
        <f>IFERROR(__xludf.DUMMYFUNCTION("""COMPUTED_VALUE"""),"TC-018")</f>
        <v>TC-018</v>
      </c>
      <c r="C25" s="53" t="str">
        <f>IFERROR(__xludf.DUMMYFUNCTION("""COMPUTED_VALUE"""),"Unggah gambar lebih dari 2MB ke konten thread")</f>
        <v>Unggah gambar lebih dari 2MB ke konten thread</v>
      </c>
      <c r="D25" s="53" t="str">
        <f>IFERROR(__xludf.DUMMYFUNCTION("""COMPUTED_VALUE"""),"1. Login
2. Klik ""+ Thread Baru""
3. Klik ikon unggah gambar
4. Pilih file gambar &gt; 2MB")</f>
        <v>1. Login
2. Klik "+ Thread Baru"
3. Klik ikon unggah gambar
4. Pilih file gambar &gt; 2MB</v>
      </c>
      <c r="E25" s="53" t="str">
        <f>IFERROR(__xludf.DUMMYFUNCTION("""COMPUTED_VALUE"""),"Muncul toast notification merah dengan pesan ""Ukuran file maksimal 2MB"". File tidak terunggah.")</f>
        <v>Muncul toast notification merah dengan pesan "Ukuran file maksimal 2MB". File tidak terunggah.</v>
      </c>
      <c r="F25" s="54" t="s">
        <v>25</v>
      </c>
      <c r="G25" s="53"/>
      <c r="H25" s="53"/>
    </row>
    <row r="26">
      <c r="A26" s="53" t="str">
        <f>IFERROR(__xludf.DUMMYFUNCTION("""COMPUTED_VALUE"""),"Thread Management")</f>
        <v>Thread Management</v>
      </c>
      <c r="B26" s="53" t="str">
        <f>IFERROR(__xludf.DUMMYFUNCTION("""COMPUTED_VALUE"""),"TC-019")</f>
        <v>TC-019</v>
      </c>
      <c r="C26" s="53" t="str">
        <f>IFERROR(__xludf.DUMMYFUNCTION("""COMPUTED_VALUE"""),"Pagination di halaman Beranda")</f>
        <v>Pagination di halaman Beranda</v>
      </c>
      <c r="D26" s="53" t="str">
        <f>IFERROR(__xludf.DUMMYFUNCTION("""COMPUTED_VALUE"""),"1. Buka halaman Beranda
2. Pastikan ada lebih dari 10 thread
3. Klik tombol paginasi halaman 2")</f>
        <v>1. Buka halaman Beranda
2. Pastikan ada lebih dari 10 thread
3. Klik tombol paginasi halaman 2</v>
      </c>
      <c r="E26" s="53" t="str">
        <f>IFERROR(__xludf.DUMMYFUNCTION("""COMPUTED_VALUE"""),"Halaman beralih ke halaman 2. Daftar thread yang berbeda ditampilkan. URL tidak harus berubah (state internal).")</f>
        <v>Halaman beralih ke halaman 2. Daftar thread yang berbeda ditampilkan. URL tidak harus berubah (state internal).</v>
      </c>
      <c r="F26" s="54" t="s">
        <v>25</v>
      </c>
      <c r="G26" s="53"/>
      <c r="H26" s="53"/>
    </row>
    <row r="27">
      <c r="A27" s="53" t="str">
        <f>IFERROR(__xludf.DUMMYFUNCTION("""COMPUTED_VALUE"""),"Comment System")</f>
        <v>Comment System</v>
      </c>
      <c r="B27" s="53" t="str">
        <f>IFERROR(__xludf.DUMMYFUNCTION("""COMPUTED_VALUE"""),"TC-020")</f>
        <v>TC-020</v>
      </c>
      <c r="C27" s="53" t="str">
        <f>IFERROR(__xludf.DUMMYFUNCTION("""COMPUTED_VALUE"""),"Menambahkan komentar baru pada thread")</f>
        <v>Menambahkan komentar baru pada thread</v>
      </c>
      <c r="D27" s="53" t="str">
        <f>IFERROR(__xludf.DUMMYFUNCTION("""COMPUTED_VALUE"""),"1. Login
2. Buka halaman detail thread mana saja
3. Scroll ke seksi ""Komentar""
4. Isi textarea komentar
5. Klik tombol ""Kirim""")</f>
        <v>1. Login
2. Buka halaman detail thread mana saja
3. Scroll ke seksi "Komentar"
4. Isi textarea komentar
5. Klik tombol "Kirim"</v>
      </c>
      <c r="E27" s="53" t="str">
        <f>IFERROR(__xludf.DUMMYFUNCTION("""COMPUTED_VALUE"""),"Komentar berhasil dikirim dan muncul di daftar komentar. Jumlah komentar bertambah 1.")</f>
        <v>Komentar berhasil dikirim dan muncul di daftar komentar. Jumlah komentar bertambah 1.</v>
      </c>
      <c r="F27" s="54" t="s">
        <v>25</v>
      </c>
      <c r="G27" s="53"/>
      <c r="H27" s="53"/>
    </row>
    <row r="28">
      <c r="A28" s="53" t="str">
        <f>IFERROR(__xludf.DUMMYFUNCTION("""COMPUTED_VALUE"""),"Comment System")</f>
        <v>Comment System</v>
      </c>
      <c r="B28" s="53" t="str">
        <f>IFERROR(__xludf.DUMMYFUNCTION("""COMPUTED_VALUE"""),"TC-021")</f>
        <v>TC-021</v>
      </c>
      <c r="C28" s="53" t="str">
        <f>IFERROR(__xludf.DUMMYFUNCTION("""COMPUTED_VALUE"""),"Mengirim komentar kosong")</f>
        <v>Mengirim komentar kosong</v>
      </c>
      <c r="D28" s="53" t="str">
        <f>IFERROR(__xludf.DUMMYFUNCTION("""COMPUTED_VALUE"""),"1. Login
2. Buka detail thread
3. Biarkan textarea komentar kosong
4. Klik tombol ""Kirim""")</f>
        <v>1. Login
2. Buka detail thread
3. Biarkan textarea komentar kosong
4. Klik tombol "Kirim"</v>
      </c>
      <c r="E28" s="53" t="str">
        <f>IFERROR(__xludf.DUMMYFUNCTION("""COMPUTED_VALUE"""),"Tombol kirim tidak berfungsi atau muncul error validasi. Komentar kosong tidak ter-submit.")</f>
        <v>Tombol kirim tidak berfungsi atau muncul error validasi. Komentar kosong tidak ter-submit.</v>
      </c>
      <c r="F28" s="54" t="s">
        <v>25</v>
      </c>
      <c r="G28" s="53"/>
      <c r="H28" s="53"/>
    </row>
    <row r="29">
      <c r="A29" s="53" t="str">
        <f>IFERROR(__xludf.DUMMYFUNCTION("""COMPUTED_VALUE"""),"Comment System")</f>
        <v>Comment System</v>
      </c>
      <c r="B29" s="53" t="str">
        <f>IFERROR(__xludf.DUMMYFUNCTION("""COMPUTED_VALUE"""),"TC-022")</f>
        <v>TC-022</v>
      </c>
      <c r="C29" s="53" t="str">
        <f>IFERROR(__xludf.DUMMYFUNCTION("""COMPUTED_VALUE"""),"Membalas komentar (reply/nested comment)")</f>
        <v>Membalas komentar (reply/nested comment)</v>
      </c>
      <c r="D29" s="53" t="str">
        <f>IFERROR(__xludf.DUMMYFUNCTION("""COMPUTED_VALUE"""),"1. Login
2. Buka detail thread yang ada komentarnya
3. Klik tombol ""Balas"" di salah satu komentar
4. Isi textarea balasan
5. Klik ""Kirim""")</f>
        <v>1. Login
2. Buka detail thread yang ada komentarnya
3. Klik tombol "Balas" di salah satu komentar
4. Isi textarea balasan
5. Klik "Kirim"</v>
      </c>
      <c r="E29" s="53" t="str">
        <f>IFERROR(__xludf.DUMMYFUNCTION("""COMPUTED_VALUE"""),"Balasan berhasil dikirim dan muncul di bawah komentar induk secara hierarkis (nested/indented).")</f>
        <v>Balasan berhasil dikirim dan muncul di bawah komentar induk secara hierarkis (nested/indented).</v>
      </c>
      <c r="F29" s="54" t="s">
        <v>25</v>
      </c>
      <c r="G29" s="53"/>
      <c r="H29" s="53"/>
    </row>
    <row r="30">
      <c r="A30" s="53" t="str">
        <f>IFERROR(__xludf.DUMMYFUNCTION("""COMPUTED_VALUE"""),"Comment System")</f>
        <v>Comment System</v>
      </c>
      <c r="B30" s="53" t="str">
        <f>IFERROR(__xludf.DUMMYFUNCTION("""COMPUTED_VALUE"""),"TC-023")</f>
        <v>TC-023</v>
      </c>
      <c r="C30" s="53" t="str">
        <f>IFERROR(__xludf.DUMMYFUNCTION("""COMPUTED_VALUE"""),"Tidak bisa komentar di thread terkunci (locked)")</f>
        <v>Tidak bisa komentar di thread terkunci (locked)</v>
      </c>
      <c r="D30" s="53" t="str">
        <f>IFERROR(__xludf.DUMMYFUNCTION("""COMPUTED_VALUE"""),"1. Login sebagai user biasa
2. Buka halaman detail thread yang sudah dikunci oleh moderator/admin
3. Amati seksi komentar")</f>
        <v>1. Login sebagai user biasa
2. Buka halaman detail thread yang sudah dikunci oleh moderator/admin
3. Amati seksi komentar</v>
      </c>
      <c r="E30" s="53" t="str">
        <f>IFERROR(__xludf.DUMMYFUNCTION("""COMPUTED_VALUE"""),"Form komentar tidak tersedia. Muncul pesan ""Thread ini telah dikunci oleh moderator. Anda tidak dapat menambahkan komentar baru.""")</f>
        <v>Form komentar tidak tersedia. Muncul pesan "Thread ini telah dikunci oleh moderator. Anda tidak dapat menambahkan komentar baru."</v>
      </c>
      <c r="F30" s="54" t="s">
        <v>25</v>
      </c>
      <c r="G30" s="53"/>
      <c r="H30" s="53"/>
    </row>
    <row r="31">
      <c r="A31" s="53" t="str">
        <f>IFERROR(__xludf.DUMMYFUNCTION("""COMPUTED_VALUE"""),"Comment System")</f>
        <v>Comment System</v>
      </c>
      <c r="B31" s="53" t="str">
        <f>IFERROR(__xludf.DUMMYFUNCTION("""COMPUTED_VALUE"""),"TC-024")</f>
        <v>TC-024</v>
      </c>
      <c r="C31" s="53" t="str">
        <f>IFERROR(__xludf.DUMMYFUNCTION("""COMPUTED_VALUE"""),"Guest tidak bisa mengirim komentar")</f>
        <v>Guest tidak bisa mengirim komentar</v>
      </c>
      <c r="D31" s="53" t="str">
        <f>IFERROR(__xludf.DUMMYFUNCTION("""COMPUTED_VALUE"""),"1. Buka halaman detail thread tanpa login
2. Amati seksi komentar")</f>
        <v>1. Buka halaman detail thread tanpa login
2. Amati seksi komentar</v>
      </c>
      <c r="E31" s="53" t="str">
        <f>IFERROR(__xludf.DUMMYFUNCTION("""COMPUTED_VALUE"""),"Form komentar tidak tersedia. Muncul tombol atau pesan yang mengarahkan user untuk login terlebih dahulu.")</f>
        <v>Form komentar tidak tersedia. Muncul tombol atau pesan yang mengarahkan user untuk login terlebih dahulu.</v>
      </c>
      <c r="F31" s="54" t="s">
        <v>25</v>
      </c>
      <c r="G31" s="53"/>
      <c r="H31" s="53"/>
    </row>
    <row r="32">
      <c r="A32" s="53" t="str">
        <f>IFERROR(__xludf.DUMMYFUNCTION("""COMPUTED_VALUE"""),"Voting System")</f>
        <v>Voting System</v>
      </c>
      <c r="B32" s="53" t="str">
        <f>IFERROR(__xludf.DUMMYFUNCTION("""COMPUTED_VALUE"""),"TC-025")</f>
        <v>TC-025</v>
      </c>
      <c r="C32" s="53" t="str">
        <f>IFERROR(__xludf.DUMMYFUNCTION("""COMPUTED_VALUE"""),"Upvote sebuah thread")</f>
        <v>Upvote sebuah thread</v>
      </c>
      <c r="D32" s="53" t="str">
        <f>IFERROR(__xludf.DUMMYFUNCTION("""COMPUTED_VALUE"""),"1. Login
2. Buka halaman Beranda atau detail thread
3. Klik tombol panah atas (upvote) pada sebuah thread")</f>
        <v>1. Login
2. Buka halaman Beranda atau detail thread
3. Klik tombol panah atas (upvote) pada sebuah thread</v>
      </c>
      <c r="E32" s="53" t="str">
        <f>IFERROR(__xludf.DUMMYFUNCTION("""COMPUTED_VALUE"""),"Skor bertambah 1. Ikon upvote berubah warna (aktif/biru). Perubahan tersimpan setelah refresh halaman.")</f>
        <v>Skor bertambah 1. Ikon upvote berubah warna (aktif/biru). Perubahan tersimpan setelah refresh halaman.</v>
      </c>
      <c r="F32" s="54" t="s">
        <v>25</v>
      </c>
      <c r="G32" s="53"/>
      <c r="H32" s="53"/>
    </row>
    <row r="33">
      <c r="A33" s="53" t="str">
        <f>IFERROR(__xludf.DUMMYFUNCTION("""COMPUTED_VALUE"""),"Voting System")</f>
        <v>Voting System</v>
      </c>
      <c r="B33" s="53" t="str">
        <f>IFERROR(__xludf.DUMMYFUNCTION("""COMPUTED_VALUE"""),"TC-026")</f>
        <v>TC-026</v>
      </c>
      <c r="C33" s="53" t="str">
        <f>IFERROR(__xludf.DUMMYFUNCTION("""COMPUTED_VALUE"""),"Batalkan upvote (toggle)")</f>
        <v>Batalkan upvote (toggle)</v>
      </c>
      <c r="D33" s="53" t="str">
        <f>IFERROR(__xludf.DUMMYFUNCTION("""COMPUTED_VALUE"""),"1. Login
2. Buka thread yang sudah di-upvote
3. Klik kembali tombol upvote (yang sedang aktif)")</f>
        <v>1. Login
2. Buka thread yang sudah di-upvote
3. Klik kembali tombol upvote (yang sedang aktif)</v>
      </c>
      <c r="E33" s="53" t="str">
        <f>IFERROR(__xludf.DUMMYFUNCTION("""COMPUTED_VALUE"""),"Skor berkurang 1. Ikon upvote kembali ke warna default (tidak aktif).")</f>
        <v>Skor berkurang 1. Ikon upvote kembali ke warna default (tidak aktif).</v>
      </c>
      <c r="F33" s="54" t="s">
        <v>25</v>
      </c>
      <c r="G33" s="53"/>
      <c r="H33" s="53"/>
    </row>
    <row r="34">
      <c r="A34" s="53" t="str">
        <f>IFERROR(__xludf.DUMMYFUNCTION("""COMPUTED_VALUE"""),"Voting System")</f>
        <v>Voting System</v>
      </c>
      <c r="B34" s="53" t="str">
        <f>IFERROR(__xludf.DUMMYFUNCTION("""COMPUTED_VALUE"""),"TC-027")</f>
        <v>TC-027</v>
      </c>
      <c r="C34" s="53" t="str">
        <f>IFERROR(__xludf.DUMMYFUNCTION("""COMPUTED_VALUE"""),"Downvote sebuah thread")</f>
        <v>Downvote sebuah thread</v>
      </c>
      <c r="D34" s="53" t="str">
        <f>IFERROR(__xludf.DUMMYFUNCTION("""COMPUTED_VALUE"""),"1. Login
2. Buka halaman detail thread
3. Klik tombol panah bawah (downvote)")</f>
        <v>1. Login
2. Buka halaman detail thread
3. Klik tombol panah bawah (downvote)</v>
      </c>
      <c r="E34" s="53" t="str">
        <f>IFERROR(__xludf.DUMMYFUNCTION("""COMPUTED_VALUE"""),"Skor berkurang 1. Ikon downvote berubah warna aktif.")</f>
        <v>Skor berkurang 1. Ikon downvote berubah warna aktif.</v>
      </c>
      <c r="F34" s="54" t="s">
        <v>25</v>
      </c>
      <c r="G34" s="53"/>
      <c r="H34" s="53"/>
    </row>
    <row r="35">
      <c r="A35" s="53" t="str">
        <f>IFERROR(__xludf.DUMMYFUNCTION("""COMPUTED_VALUE"""),"Voting System")</f>
        <v>Voting System</v>
      </c>
      <c r="B35" s="53" t="str">
        <f>IFERROR(__xludf.DUMMYFUNCTION("""COMPUTED_VALUE"""),"TC-028")</f>
        <v>TC-028</v>
      </c>
      <c r="C35" s="53" t="str">
        <f>IFERROR(__xludf.DUMMYFUNCTION("""COMPUTED_VALUE"""),"Guest tidak bisa vote")</f>
        <v>Guest tidak bisa vote</v>
      </c>
      <c r="D35" s="53" t="str">
        <f>IFERROR(__xludf.DUMMYFUNCTION("""COMPUTED_VALUE"""),"1. Buka halaman Beranda tanpa login
2. Coba klik tombol upvote pada thread mana saja")</f>
        <v>1. Buka halaman Beranda tanpa login
2. Coba klik tombol upvote pada thread mana saja</v>
      </c>
      <c r="E35" s="53" t="str">
        <f>IFERROR(__xludf.DUMMYFUNCTION("""COMPUTED_VALUE"""),"Tidak terjadi perubahan skor. User diarahkan ke halaman login atau tombol tidak responsif.")</f>
        <v>Tidak terjadi perubahan skor. User diarahkan ke halaman login atau tombol tidak responsif.</v>
      </c>
      <c r="F35" s="54" t="s">
        <v>25</v>
      </c>
      <c r="G35" s="53"/>
      <c r="H35" s="53"/>
    </row>
    <row r="36">
      <c r="A36" s="53" t="str">
        <f>IFERROR(__xludf.DUMMYFUNCTION("""COMPUTED_VALUE"""),"Bookmark System")</f>
        <v>Bookmark System</v>
      </c>
      <c r="B36" s="53" t="str">
        <f>IFERROR(__xludf.DUMMYFUNCTION("""COMPUTED_VALUE"""),"TC-029")</f>
        <v>TC-029</v>
      </c>
      <c r="C36" s="53" t="str">
        <f>IFERROR(__xludf.DUMMYFUNCTION("""COMPUTED_VALUE"""),"Bookmark sebuah thread dari Beranda")</f>
        <v>Bookmark sebuah thread dari Beranda</v>
      </c>
      <c r="D36" s="53" t="str">
        <f>IFERROR(__xludf.DUMMYFUNCTION("""COMPUTED_VALUE"""),"1. Login
2. Di halaman Beranda, klik ikon bookmark pada salah satu thread card")</f>
        <v>1. Login
2. Di halaman Beranda, klik ikon bookmark pada salah satu thread card</v>
      </c>
      <c r="E36" s="53" t="str">
        <f>IFERROR(__xludf.DUMMYFUNCTION("""COMPUTED_VALUE"""),"Ikon bookmark berubah menjadi solid/terisi (warna aktif). Thread tersimpan ke daftar bookmark.")</f>
        <v>Ikon bookmark berubah menjadi solid/terisi (warna aktif). Thread tersimpan ke daftar bookmark.</v>
      </c>
      <c r="F36" s="54" t="s">
        <v>25</v>
      </c>
      <c r="G36" s="53"/>
      <c r="H36" s="53"/>
    </row>
    <row r="37">
      <c r="A37" s="53" t="str">
        <f>IFERROR(__xludf.DUMMYFUNCTION("""COMPUTED_VALUE"""),"Bookmark System")</f>
        <v>Bookmark System</v>
      </c>
      <c r="B37" s="53" t="str">
        <f>IFERROR(__xludf.DUMMYFUNCTION("""COMPUTED_VALUE"""),"TC-030")</f>
        <v>TC-030</v>
      </c>
      <c r="C37" s="53" t="str">
        <f>IFERROR(__xludf.DUMMYFUNCTION("""COMPUTED_VALUE"""),"Hapus bookmark dari Beranda")</f>
        <v>Hapus bookmark dari Beranda</v>
      </c>
      <c r="D37" s="53" t="str">
        <f>IFERROR(__xludf.DUMMYFUNCTION("""COMPUTED_VALUE"""),"1. Login
2. Di Beranda, klik ikon bookmark pada thread yang SUDAH di-bookmark (ikon solid)")</f>
        <v>1. Login
2. Di Beranda, klik ikon bookmark pada thread yang SUDAH di-bookmark (ikon solid)</v>
      </c>
      <c r="E37" s="53" t="str">
        <f>IFERROR(__xludf.DUMMYFUNCTION("""COMPUTED_VALUE"""),"Ikon bookmark kembali menjadi outline/kosong. Thread dihapus dari daftar bookmark.")</f>
        <v>Ikon bookmark kembali menjadi outline/kosong. Thread dihapus dari daftar bookmark.</v>
      </c>
      <c r="F37" s="54" t="s">
        <v>25</v>
      </c>
      <c r="G37" s="53"/>
      <c r="H37" s="53"/>
    </row>
    <row r="38">
      <c r="A38" s="53" t="str">
        <f>IFERROR(__xludf.DUMMYFUNCTION("""COMPUTED_VALUE"""),"Bookmark System")</f>
        <v>Bookmark System</v>
      </c>
      <c r="B38" s="53" t="str">
        <f>IFERROR(__xludf.DUMMYFUNCTION("""COMPUTED_VALUE"""),"TC-031")</f>
        <v>TC-031</v>
      </c>
      <c r="C38" s="53" t="str">
        <f>IFERROR(__xludf.DUMMYFUNCTION("""COMPUTED_VALUE"""),"Melihat daftar thread yang di-bookmark")</f>
        <v>Melihat daftar thread yang di-bookmark</v>
      </c>
      <c r="D38" s="53" t="str">
        <f>IFERROR(__xludf.DUMMYFUNCTION("""COMPUTED_VALUE"""),"1. Login
2. Klik menu ""Bookmark"" di sidebar atau mobile nav
3. Buka /settings/bookmarks")</f>
        <v>1. Login
2. Klik menu "Bookmark" di sidebar atau mobile nav
3. Buka /settings/bookmarks</v>
      </c>
      <c r="E38" s="53" t="str">
        <f>IFERROR(__xludf.DUMMYFUNCTION("""COMPUTED_VALUE"""),"Halaman Bookmark menampilkan semua thread yang pernah di-bookmark. Setiap item menampilkan jumlah komentar dan skor upvote yang benar.")</f>
        <v>Halaman Bookmark menampilkan semua thread yang pernah di-bookmark. Setiap item menampilkan jumlah komentar dan skor upvote yang benar.</v>
      </c>
      <c r="F38" s="54" t="s">
        <v>25</v>
      </c>
      <c r="G38" s="53"/>
      <c r="H38" s="53"/>
    </row>
    <row r="39">
      <c r="A39" s="53" t="str">
        <f>IFERROR(__xludf.DUMMYFUNCTION("""COMPUTED_VALUE"""),"Bookmark System")</f>
        <v>Bookmark System</v>
      </c>
      <c r="B39" s="53" t="str">
        <f>IFERROR(__xludf.DUMMYFUNCTION("""COMPUTED_VALUE"""),"TC-032")</f>
        <v>TC-032</v>
      </c>
      <c r="C39" s="53" t="str">
        <f>IFERROR(__xludf.DUMMYFUNCTION("""COMPUTED_VALUE"""),"Halaman bookmark kosong jika belum ada")</f>
        <v>Halaman bookmark kosong jika belum ada</v>
      </c>
      <c r="D39" s="53" t="str">
        <f>IFERROR(__xludf.DUMMYFUNCTION("""COMPUTED_VALUE"""),"1. Login dengan akun baru yang belum pernah bookmark
2. Buka /settings/bookmarks")</f>
        <v>1. Login dengan akun baru yang belum pernah bookmark
2. Buka /settings/bookmarks</v>
      </c>
      <c r="E39" s="53" t="str">
        <f>IFERROR(__xludf.DUMMYFUNCTION("""COMPUTED_VALUE"""),"Tampil pesan kosong ""Belum ada bookmark"" dengan deskripsi yang sesuai.")</f>
        <v>Tampil pesan kosong "Belum ada bookmark" dengan deskripsi yang sesuai.</v>
      </c>
      <c r="F39" s="54" t="s">
        <v>25</v>
      </c>
      <c r="G39" s="53"/>
      <c r="H39" s="53"/>
    </row>
    <row r="40">
      <c r="A40" s="53" t="str">
        <f>IFERROR(__xludf.DUMMYFUNCTION("""COMPUTED_VALUE"""),"Notification System")</f>
        <v>Notification System</v>
      </c>
      <c r="B40" s="53" t="str">
        <f>IFERROR(__xludf.DUMMYFUNCTION("""COMPUTED_VALUE"""),"TC-033")</f>
        <v>TC-033</v>
      </c>
      <c r="C40" s="53" t="str">
        <f>IFERROR(__xludf.DUMMYFUNCTION("""COMPUTED_VALUE"""),"Notifikasi muncul saat komentar dibalas")</f>
        <v>Notifikasi muncul saat komentar dibalas</v>
      </c>
      <c r="D40" s="53" t="str">
        <f>IFERROR(__xludf.DUMMYFUNCTION("""COMPUTED_VALUE"""),"1. Login sebagai UserA
2. Buat thread atau komentar
3. Logout
4. Login sebagai UserB
5. Balas komentar/thread milik UserA
6. Logout
7. Login kembali sebagai UserA
8. Buka halaman /notifications")</f>
        <v>1. Login sebagai UserA
2. Buat thread atau komentar
3. Logout
4. Login sebagai UserB
5. Balas komentar/thread milik UserA
6. Logout
7. Login kembali sebagai UserA
8. Buka halaman /notifications</v>
      </c>
      <c r="E40" s="53" t="str">
        <f>IFERROR(__xludf.DUMMYFUNCTION("""COMPUTED_VALUE"""),"Notifikasi muncul di halaman Notifikasi UserA dengan pesan ""UserB membalas diskusi Anda."" disertai badge merah di sidebar.")</f>
        <v>Notifikasi muncul di halaman Notifikasi UserA dengan pesan "UserB membalas diskusi Anda." disertai badge merah di sidebar.</v>
      </c>
      <c r="F40" s="54" t="s">
        <v>25</v>
      </c>
      <c r="G40" s="53"/>
      <c r="H40" s="53"/>
    </row>
    <row r="41">
      <c r="A41" s="53" t="str">
        <f>IFERROR(__xludf.DUMMYFUNCTION("""COMPUTED_VALUE"""),"Notification System")</f>
        <v>Notification System</v>
      </c>
      <c r="B41" s="53" t="str">
        <f>IFERROR(__xludf.DUMMYFUNCTION("""COMPUTED_VALUE"""),"TC-034")</f>
        <v>TC-034</v>
      </c>
      <c r="C41" s="53" t="str">
        <f>IFERROR(__xludf.DUMMYFUNCTION("""COMPUTED_VALUE"""),"Notifikasi muncul saat thread di-upvote")</f>
        <v>Notifikasi muncul saat thread di-upvote</v>
      </c>
      <c r="D41" s="53" t="str">
        <f>IFERROR(__xludf.DUMMYFUNCTION("""COMPUTED_VALUE"""),"1. Login sebagai UserA, buat thread
2. Login sebagai UserB, upvote thread UserA
3. Login kembali sebagai UserA
4. Buka /notifications")</f>
        <v>1. Login sebagai UserA, buat thread
2. Login sebagai UserB, upvote thread UserA
3. Login kembali sebagai UserA
4. Buka /notifications</v>
      </c>
      <c r="E41" s="53" t="str">
        <f>IFERROR(__xludf.DUMMYFUNCTION("""COMPUTED_VALUE"""),"Notifikasi muncul dengan pesan ""UserB memberikan upvote pada diskusi/komentar Anda.""")</f>
        <v>Notifikasi muncul dengan pesan "UserB memberikan upvote pada diskusi/komentar Anda."</v>
      </c>
      <c r="F41" s="54" t="s">
        <v>25</v>
      </c>
      <c r="G41" s="53"/>
      <c r="H41" s="53"/>
    </row>
    <row r="42">
      <c r="A42" s="53" t="str">
        <f>IFERROR(__xludf.DUMMYFUNCTION("""COMPUTED_VALUE"""),"Notification System")</f>
        <v>Notification System</v>
      </c>
      <c r="B42" s="53" t="str">
        <f>IFERROR(__xludf.DUMMYFUNCTION("""COMPUTED_VALUE"""),"TC-035")</f>
        <v>TC-035</v>
      </c>
      <c r="C42" s="53" t="str">
        <f>IFERROR(__xludf.DUMMYFUNCTION("""COMPUTED_VALUE"""),"Badge notifikasi merah tampil di sidebar")</f>
        <v>Badge notifikasi merah tampil di sidebar</v>
      </c>
      <c r="D42" s="53" t="str">
        <f>IFERROR(__xludf.DUMMYFUNCTION("""COMPUTED_VALUE"""),"1. Login sebagai UserA
2. Pastikan ada notifikasi belum dibaca
3. Amati sidebar (menu Notifikasi)")</f>
        <v>1. Login sebagai UserA
2. Pastikan ada notifikasi belum dibaca
3. Amati sidebar (menu Notifikasi)</v>
      </c>
      <c r="E42" s="53" t="str">
        <f>IFERROR(__xludf.DUMMYFUNCTION("""COMPUTED_VALUE"""),"Badge merah dengan angka jumlah notifikasi belum dibaca tampil di sebelah kanan tulisan ""Notifikasi"" di sidebar.")</f>
        <v>Badge merah dengan angka jumlah notifikasi belum dibaca tampil di sebelah kanan tulisan "Notifikasi" di sidebar.</v>
      </c>
      <c r="F42" s="54" t="s">
        <v>25</v>
      </c>
      <c r="G42" s="53"/>
      <c r="H42" s="53"/>
    </row>
    <row r="43">
      <c r="A43" s="53" t="str">
        <f>IFERROR(__xludf.DUMMYFUNCTION("""COMPUTED_VALUE"""),"Notification System")</f>
        <v>Notification System</v>
      </c>
      <c r="B43" s="53" t="str">
        <f>IFERROR(__xludf.DUMMYFUNCTION("""COMPUTED_VALUE"""),"TC-036")</f>
        <v>TC-036</v>
      </c>
      <c r="C43" s="53" t="str">
        <f>IFERROR(__xludf.DUMMYFUNCTION("""COMPUTED_VALUE"""),"Badge notifikasi hilang setelah dibaca")</f>
        <v>Badge notifikasi hilang setelah dibaca</v>
      </c>
      <c r="D43" s="53" t="str">
        <f>IFERROR(__xludf.DUMMYFUNCTION("""COMPUTED_VALUE"""),"1. Login
2. Pastikan badge notifikasi merah muncul
3. Klik menu Notifikasi
4. Klik salah satu notifikasi")</f>
        <v>1. Login
2. Pastikan badge notifikasi merah muncul
3. Klik menu Notifikasi
4. Klik salah satu notifikasi</v>
      </c>
      <c r="E43" s="53" t="str">
        <f>IFERROR(__xludf.DUMMYFUNCTION("""COMPUTED_VALUE"""),"Notifikasi ditandai sebagai dibaca. Badge angka berkurang. Jika semua sudah dibaca, badge hilang sepenuhnya.")</f>
        <v>Notifikasi ditandai sebagai dibaca. Badge angka berkurang. Jika semua sudah dibaca, badge hilang sepenuhnya.</v>
      </c>
      <c r="F43" s="54" t="s">
        <v>25</v>
      </c>
      <c r="G43" s="53"/>
      <c r="H43" s="53"/>
    </row>
    <row r="44">
      <c r="A44" s="53" t="str">
        <f>IFERROR(__xludf.DUMMYFUNCTION("""COMPUTED_VALUE"""),"Categories")</f>
        <v>Categories</v>
      </c>
      <c r="B44" s="53" t="str">
        <f>IFERROR(__xludf.DUMMYFUNCTION("""COMPUTED_VALUE"""),"TC-037")</f>
        <v>TC-037</v>
      </c>
      <c r="C44" s="53" t="str">
        <f>IFERROR(__xludf.DUMMYFUNCTION("""COMPUTED_VALUE"""),"Melihat daftar semua kategori")</f>
        <v>Melihat daftar semua kategori</v>
      </c>
      <c r="D44" s="53" t="str">
        <f>IFERROR(__xludf.DUMMYFUNCTION("""COMPUTED_VALUE"""),"1. Buka URL: /categories")</f>
        <v>1. Buka URL: /categories</v>
      </c>
      <c r="E44" s="53" t="str">
        <f>IFERROR(__xludf.DUMMYFUNCTION("""COMPUTED_VALUE"""),"Halaman menampilkan semua kategori yang tersedia dengan nama, deskripsi, dan jumlah thread per kategori.")</f>
        <v>Halaman menampilkan semua kategori yang tersedia dengan nama, deskripsi, dan jumlah thread per kategori.</v>
      </c>
      <c r="F44" s="54" t="s">
        <v>25</v>
      </c>
      <c r="G44" s="53"/>
      <c r="H44" s="53"/>
    </row>
    <row r="45">
      <c r="A45" s="53" t="str">
        <f>IFERROR(__xludf.DUMMYFUNCTION("""COMPUTED_VALUE"""),"Categories")</f>
        <v>Categories</v>
      </c>
      <c r="B45" s="53" t="str">
        <f>IFERROR(__xludf.DUMMYFUNCTION("""COMPUTED_VALUE"""),"TC-038")</f>
        <v>TC-038</v>
      </c>
      <c r="C45" s="53" t="str">
        <f>IFERROR(__xludf.DUMMYFUNCTION("""COMPUTED_VALUE"""),"Melihat thread per kategori")</f>
        <v>Melihat thread per kategori</v>
      </c>
      <c r="D45" s="53" t="str">
        <f>IFERROR(__xludf.DUMMYFUNCTION("""COMPUTED_VALUE"""),"1. Buka /categories
2. Klik salah satu kategori
3. Atau klik nama kategori dari sidebar")</f>
        <v>1. Buka /categories
2. Klik salah satu kategori
3. Atau klik nama kategori dari sidebar</v>
      </c>
      <c r="E45" s="53" t="str">
        <f>IFERROR(__xludf.DUMMYFUNCTION("""COMPUTED_VALUE"""),"Halaman kategori terbuka menampilkan daftar thread dalam kategori tersebut.")</f>
        <v>Halaman kategori terbuka menampilkan daftar thread dalam kategori tersebut.</v>
      </c>
      <c r="F45" s="54" t="s">
        <v>25</v>
      </c>
      <c r="G45" s="53"/>
      <c r="H45" s="53"/>
    </row>
    <row r="46">
      <c r="A46" s="53" t="str">
        <f>IFERROR(__xludf.DUMMYFUNCTION("""COMPUTED_VALUE"""),"Categories")</f>
        <v>Categories</v>
      </c>
      <c r="B46" s="53" t="str">
        <f>IFERROR(__xludf.DUMMYFUNCTION("""COMPUTED_VALUE"""),"TC-039")</f>
        <v>TC-039</v>
      </c>
      <c r="C46" s="53" t="str">
        <f>IFERROR(__xludf.DUMMYFUNCTION("""COMPUTED_VALUE"""),"Filter thread berdasarkan kategori dari Beranda")</f>
        <v>Filter thread berdasarkan kategori dari Beranda</v>
      </c>
      <c r="D46" s="53" t="str">
        <f>IFERROR(__xludf.DUMMYFUNCTION("""COMPUTED_VALUE"""),"1. Buka Beranda
2. Klik salah satu nama kategori di sidebar kiri")</f>
        <v>1. Buka Beranda
2. Klik salah satu nama kategori di sidebar kiri</v>
      </c>
      <c r="E46" s="53" t="str">
        <f>IFERROR(__xludf.DUMMYFUNCTION("""COMPUTED_VALUE"""),"Diarahkan ke halaman thread khusus kategori tersebut. Hanya thread milik kategori itu yang tampil.")</f>
        <v>Diarahkan ke halaman thread khusus kategori tersebut. Hanya thread milik kategori itu yang tampil.</v>
      </c>
      <c r="F46" s="54" t="s">
        <v>25</v>
      </c>
      <c r="G46" s="53"/>
      <c r="H46" s="53"/>
    </row>
    <row r="47">
      <c r="A47" s="53" t="str">
        <f>IFERROR(__xludf.DUMMYFUNCTION("""COMPUTED_VALUE"""),"User Profile &amp; Settings")</f>
        <v>User Profile &amp; Settings</v>
      </c>
      <c r="B47" s="53" t="str">
        <f>IFERROR(__xludf.DUMMYFUNCTION("""COMPUTED_VALUE"""),"TC-040")</f>
        <v>TC-040</v>
      </c>
      <c r="C47" s="53" t="str">
        <f>IFERROR(__xludf.DUMMYFUNCTION("""COMPUTED_VALUE"""),"Melihat halaman pengaturan profil")</f>
        <v>Melihat halaman pengaturan profil</v>
      </c>
      <c r="D47" s="53" t="str">
        <f>IFERROR(__xludf.DUMMYFUNCTION("""COMPUTED_VALUE"""),"1. Login
2. Klik avatar/foto profil di navbar
3. Atau akses langsung /settings/profile")</f>
        <v>1. Login
2. Klik avatar/foto profil di navbar
3. Atau akses langsung /settings/profile</v>
      </c>
      <c r="E47" s="53" t="str">
        <f>IFERROR(__xludf.DUMMYFUNCTION("""COMPUTED_VALUE"""),"Halaman pengaturan profil terbuka. Menampilkan: field Username (read-only), Email (read-only), foto profil, dan field Bio.")</f>
        <v>Halaman pengaturan profil terbuka. Menampilkan: field Username (read-only), Email (read-only), foto profil, dan field Bio.</v>
      </c>
      <c r="F47" s="54" t="s">
        <v>25</v>
      </c>
      <c r="G47" s="53"/>
      <c r="H47" s="53"/>
    </row>
    <row r="48">
      <c r="A48" s="53" t="str">
        <f>IFERROR(__xludf.DUMMYFUNCTION("""COMPUTED_VALUE"""),"User Profile &amp; Settings")</f>
        <v>User Profile &amp; Settings</v>
      </c>
      <c r="B48" s="53" t="str">
        <f>IFERROR(__xludf.DUMMYFUNCTION("""COMPUTED_VALUE"""),"TC-041")</f>
        <v>TC-041</v>
      </c>
      <c r="C48" s="53" t="str">
        <f>IFERROR(__xludf.DUMMYFUNCTION("""COMPUTED_VALUE"""),"Update Bio profil")</f>
        <v>Update Bio profil</v>
      </c>
      <c r="D48" s="53" t="str">
        <f>IFERROR(__xludf.DUMMYFUNCTION("""COMPUTED_VALUE"""),"1. Login
2. Buka /settings/profile
3. Ubah isi field ""Bio""
4. Klik tombol ""Simpan Perubahan""")</f>
        <v>1. Login
2. Buka /settings/profile
3. Ubah isi field "Bio"
4. Klik tombol "Simpan Perubahan"</v>
      </c>
      <c r="E48" s="53" t="str">
        <f>IFERROR(__xludf.DUMMYFUNCTION("""COMPUTED_VALUE"""),"Muncul toast notification hijau ""Profil berhasil diperbarui!"". Bio tersimpan dan tampil saat halaman di-refresh.")</f>
        <v>Muncul toast notification hijau "Profil berhasil diperbarui!". Bio tersimpan dan tampil saat halaman di-refresh.</v>
      </c>
      <c r="F48" s="54" t="s">
        <v>25</v>
      </c>
      <c r="G48" s="53"/>
      <c r="H48" s="53"/>
    </row>
    <row r="49">
      <c r="A49" s="53" t="str">
        <f>IFERROR(__xludf.DUMMYFUNCTION("""COMPUTED_VALUE"""),"User Profile &amp; Settings")</f>
        <v>User Profile &amp; Settings</v>
      </c>
      <c r="B49" s="53" t="str">
        <f>IFERROR(__xludf.DUMMYFUNCTION("""COMPUTED_VALUE"""),"TC-042")</f>
        <v>TC-042</v>
      </c>
      <c r="C49" s="53" t="str">
        <f>IFERROR(__xludf.DUMMYFUNCTION("""COMPUTED_VALUE"""),"Upload foto profil (avatar) dengan file valid")</f>
        <v>Upload foto profil (avatar) dengan file valid</v>
      </c>
      <c r="D49" s="53" t="str">
        <f>IFERROR(__xludf.DUMMYFUNCTION("""COMPUTED_VALUE"""),"1. Login
2. Buka /settings/profile
3. Klik tombol ""Pilih Foto Baru""
4. Pilih file JPG/PNG/WebP &lt; 2MB
5. Klik ""Simpan Perubahan""")</f>
        <v>1. Login
2. Buka /settings/profile
3. Klik tombol "Pilih Foto Baru"
4. Pilih file JPG/PNG/WebP &lt; 2MB
5. Klik "Simpan Perubahan"</v>
      </c>
      <c r="E49" s="53" t="str">
        <f>IFERROR(__xludf.DUMMYFUNCTION("""COMPUTED_VALUE"""),"Foto profil ter-upload, preview avatar berubah. Setelah simpan, foto baru tersimpan dan tampil di navbar.")</f>
        <v>Foto profil ter-upload, preview avatar berubah. Setelah simpan, foto baru tersimpan dan tampil di navbar.</v>
      </c>
      <c r="F49" s="54" t="s">
        <v>25</v>
      </c>
      <c r="G49" s="53"/>
      <c r="H49" s="53"/>
    </row>
    <row r="50">
      <c r="A50" s="53" t="str">
        <f>IFERROR(__xludf.DUMMYFUNCTION("""COMPUTED_VALUE"""),"User Profile &amp; Settings")</f>
        <v>User Profile &amp; Settings</v>
      </c>
      <c r="B50" s="53" t="str">
        <f>IFERROR(__xludf.DUMMYFUNCTION("""COMPUTED_VALUE"""),"TC-043")</f>
        <v>TC-043</v>
      </c>
      <c r="C50" s="53" t="str">
        <f>IFERROR(__xludf.DUMMYFUNCTION("""COMPUTED_VALUE"""),"Upload foto profil lebih dari 2MB")</f>
        <v>Upload foto profil lebih dari 2MB</v>
      </c>
      <c r="D50" s="53" t="str">
        <f>IFERROR(__xludf.DUMMYFUNCTION("""COMPUTED_VALUE"""),"1. Login
2. Buka /settings/profile
3. Klik ""Pilih Foto Baru""
4. Pilih file gambar &gt; 2MB")</f>
        <v>1. Login
2. Buka /settings/profile
3. Klik "Pilih Foto Baru"
4. Pilih file gambar &gt; 2MB</v>
      </c>
      <c r="E50" s="53" t="str">
        <f>IFERROR(__xludf.DUMMYFUNCTION("""COMPUTED_VALUE"""),"Muncul toast notification merah ""Ukuran file maksimal 2MB"". File tidak terunggah.")</f>
        <v>Muncul toast notification merah "Ukuran file maksimal 2MB". File tidak terunggah.</v>
      </c>
      <c r="F50" s="54" t="s">
        <v>25</v>
      </c>
      <c r="G50" s="53"/>
      <c r="H50" s="53"/>
    </row>
    <row r="51">
      <c r="A51" s="53" t="str">
        <f>IFERROR(__xludf.DUMMYFUNCTION("""COMPUTED_VALUE"""),"User Profile &amp; Settings")</f>
        <v>User Profile &amp; Settings</v>
      </c>
      <c r="B51" s="53" t="str">
        <f>IFERROR(__xludf.DUMMYFUNCTION("""COMPUTED_VALUE"""),"TC-044")</f>
        <v>TC-044</v>
      </c>
      <c r="C51" s="53" t="str">
        <f>IFERROR(__xludf.DUMMYFUNCTION("""COMPUTED_VALUE"""),"Bio melebihi 250 karakter")</f>
        <v>Bio melebihi 250 karakter</v>
      </c>
      <c r="D51" s="53" t="str">
        <f>IFERROR(__xludf.DUMMYFUNCTION("""COMPUTED_VALUE"""),"1. Login
2. Buka /settings/profile
3. Isi Bio lebih dari 250 karakter
4. Klik ""Simpan Perubahan""")</f>
        <v>1. Login
2. Buka /settings/profile
3. Isi Bio lebih dari 250 karakter
4. Klik "Simpan Perubahan"</v>
      </c>
      <c r="E51" s="53" t="str">
        <f>IFERROR(__xludf.DUMMYFUNCTION("""COMPUTED_VALUE"""),"Muncul pesan error inline ""Bio maksimal 250 karakter"". Perubahan tidak disimpan.")</f>
        <v>Muncul pesan error inline "Bio maksimal 250 karakter". Perubahan tidak disimpan.</v>
      </c>
      <c r="F51" s="54" t="s">
        <v>25</v>
      </c>
      <c r="G51" s="53"/>
      <c r="H51" s="53"/>
    </row>
    <row r="52">
      <c r="A52" s="53" t="str">
        <f>IFERROR(__xludf.DUMMYFUNCTION("""COMPUTED_VALUE"""),"Search")</f>
        <v>Search</v>
      </c>
      <c r="B52" s="53" t="str">
        <f>IFERROR(__xludf.DUMMYFUNCTION("""COMPUTED_VALUE"""),"TC-045")</f>
        <v>TC-045</v>
      </c>
      <c r="C52" s="53" t="str">
        <f>IFERROR(__xludf.DUMMYFUNCTION("""COMPUTED_VALUE"""),"Mencari thread melalui search bar")</f>
        <v>Mencari thread melalui search bar</v>
      </c>
      <c r="D52" s="53" t="str">
        <f>IFERROR(__xludf.DUMMYFUNCTION("""COMPUTED_VALUE"""),"1. Klik ikon Search di navbar atau mobile nav
2. Ketik kata kunci yang ada di judul thread
3. Tekan Enter atau tunggu hasil muncul")</f>
        <v>1. Klik ikon Search di navbar atau mobile nav
2. Ketik kata kunci yang ada di judul thread
3. Tekan Enter atau tunggu hasil muncul</v>
      </c>
      <c r="E52" s="53" t="str">
        <f>IFERROR(__xludf.DUMMYFUNCTION("""COMPUTED_VALUE"""),"Hasil pencarian menampilkan thread yang relevan dengan kata kunci tersebut.")</f>
        <v>Hasil pencarian menampilkan thread yang relevan dengan kata kunci tersebut.</v>
      </c>
      <c r="F52" s="54" t="s">
        <v>25</v>
      </c>
      <c r="G52" s="53"/>
      <c r="H52" s="53"/>
    </row>
    <row r="53">
      <c r="A53" s="53" t="str">
        <f>IFERROR(__xludf.DUMMYFUNCTION("""COMPUTED_VALUE"""),"Search")</f>
        <v>Search</v>
      </c>
      <c r="B53" s="53" t="str">
        <f>IFERROR(__xludf.DUMMYFUNCTION("""COMPUTED_VALUE"""),"TC-046")</f>
        <v>TC-046</v>
      </c>
      <c r="C53" s="53" t="str">
        <f>IFERROR(__xludf.DUMMYFUNCTION("""COMPUTED_VALUE"""),"Pencarian dengan kata yang tidak ada")</f>
        <v>Pencarian dengan kata yang tidak ada</v>
      </c>
      <c r="D53" s="53" t="str">
        <f>IFERROR(__xludf.DUMMYFUNCTION("""COMPUTED_VALUE"""),"1. Buka fitur pencarian
2. Ketik kata kunci yang tidak ada di database")</f>
        <v>1. Buka fitur pencarian
2. Ketik kata kunci yang tidak ada di database</v>
      </c>
      <c r="E53" s="53" t="str">
        <f>IFERROR(__xludf.DUMMYFUNCTION("""COMPUTED_VALUE"""),"Tampil pesan kosong / no result yang informatif. Tidak ada error.")</f>
        <v>Tampil pesan kosong / no result yang informatif. Tidak ada error.</v>
      </c>
      <c r="F53" s="54" t="s">
        <v>25</v>
      </c>
      <c r="G53" s="53"/>
      <c r="H53" s="53"/>
    </row>
    <row r="54">
      <c r="A54" s="53" t="str">
        <f>IFERROR(__xludf.DUMMYFUNCTION("""COMPUTED_VALUE"""),"Admin - Category Management")</f>
        <v>Admin - Category Management</v>
      </c>
      <c r="B54" s="53" t="str">
        <f>IFERROR(__xludf.DUMMYFUNCTION("""COMPUTED_VALUE"""),"TC-047")</f>
        <v>TC-047</v>
      </c>
      <c r="C54" s="53" t="str">
        <f>IFERROR(__xludf.DUMMYFUNCTION("""COMPUTED_VALUE"""),"Admin menambah kategori baru")</f>
        <v>Admin menambah kategori baru</v>
      </c>
      <c r="D54" s="53" t="str">
        <f>IFERROR(__xludf.DUMMYFUNCTION("""COMPUTED_VALUE"""),"1. Login sebagai admin
2. Buka /admin/categories
3. Klik tombol ""+ Tambah""
4. Isi Nama, Slug, dan Deskripsi
5. Klik ""Simpan""")</f>
        <v>1. Login sebagai admin
2. Buka /admin/categories
3. Klik tombol "+ Tambah"
4. Isi Nama, Slug, dan Deskripsi
5. Klik "Simpan"</v>
      </c>
      <c r="E54" s="53" t="str">
        <f>IFERROR(__xludf.DUMMYFUNCTION("""COMPUTED_VALUE"""),"Kategori baru berhasil ditambahkan dan muncul di daftar kategori.")</f>
        <v>Kategori baru berhasil ditambahkan dan muncul di daftar kategori.</v>
      </c>
      <c r="F54" s="54" t="s">
        <v>25</v>
      </c>
      <c r="G54" s="53"/>
      <c r="H54" s="53"/>
    </row>
    <row r="55">
      <c r="A55" s="53" t="str">
        <f>IFERROR(__xludf.DUMMYFUNCTION("""COMPUTED_VALUE"""),"Admin - Category Management")</f>
        <v>Admin - Category Management</v>
      </c>
      <c r="B55" s="53" t="str">
        <f>IFERROR(__xludf.DUMMYFUNCTION("""COMPUTED_VALUE"""),"TC-048")</f>
        <v>TC-048</v>
      </c>
      <c r="C55" s="53" t="str">
        <f>IFERROR(__xludf.DUMMYFUNCTION("""COMPUTED_VALUE"""),"Admin mengedit kategori")</f>
        <v>Admin mengedit kategori</v>
      </c>
      <c r="D55" s="53" t="str">
        <f>IFERROR(__xludf.DUMMYFUNCTION("""COMPUTED_VALUE"""),"1. Login sebagai admin
2. Buka /admin/categories
3. Klik ikon pensil pada salah satu kategori
4. Ubah nama atau deskripsi
5. Klik ""Simpan""")</f>
        <v>1. Login sebagai admin
2. Buka /admin/categories
3. Klik ikon pensil pada salah satu kategori
4. Ubah nama atau deskripsi
5. Klik "Simpan"</v>
      </c>
      <c r="E55" s="53" t="str">
        <f>IFERROR(__xludf.DUMMYFUNCTION("""COMPUTED_VALUE"""),"Perubahan tersimpan dan tampil di daftar kategori.")</f>
        <v>Perubahan tersimpan dan tampil di daftar kategori.</v>
      </c>
      <c r="F55" s="54" t="s">
        <v>25</v>
      </c>
      <c r="G55" s="53"/>
      <c r="H55" s="53"/>
    </row>
    <row r="56">
      <c r="A56" s="53" t="str">
        <f>IFERROR(__xludf.DUMMYFUNCTION("""COMPUTED_VALUE"""),"Admin - Category Management")</f>
        <v>Admin - Category Management</v>
      </c>
      <c r="B56" s="53" t="str">
        <f>IFERROR(__xludf.DUMMYFUNCTION("""COMPUTED_VALUE"""),"TC-049")</f>
        <v>TC-049</v>
      </c>
      <c r="C56" s="53" t="str">
        <f>IFERROR(__xludf.DUMMYFUNCTION("""COMPUTED_VALUE"""),"Admin menghapus kategori")</f>
        <v>Admin menghapus kategori</v>
      </c>
      <c r="D56" s="53" t="str">
        <f>IFERROR(__xludf.DUMMYFUNCTION("""COMPUTED_VALUE"""),"1. Login sebagai admin
2. Buka /admin/categories
3. Klik ikon hapus pada kategori yang ingin dihapus
4. Konfirmasi pada dialog")</f>
        <v>1. Login sebagai admin
2. Buka /admin/categories
3. Klik ikon hapus pada kategori yang ingin dihapus
4. Konfirmasi pada dialog</v>
      </c>
      <c r="E56" s="53" t="str">
        <f>IFERROR(__xludf.DUMMYFUNCTION("""COMPUTED_VALUE"""),"Kategori terhapus dan tidak lagi muncul di daftar.")</f>
        <v>Kategori terhapus dan tidak lagi muncul di daftar.</v>
      </c>
      <c r="F56" s="54" t="s">
        <v>25</v>
      </c>
      <c r="G56" s="53"/>
      <c r="H56" s="53"/>
    </row>
    <row r="57">
      <c r="A57" s="53" t="str">
        <f>IFERROR(__xludf.DUMMYFUNCTION("""COMPUTED_VALUE"""),"Admin - Category Management")</f>
        <v>Admin - Category Management</v>
      </c>
      <c r="B57" s="53" t="str">
        <f>IFERROR(__xludf.DUMMYFUNCTION("""COMPUTED_VALUE"""),"TC-050")</f>
        <v>TC-050</v>
      </c>
      <c r="C57" s="53" t="str">
        <f>IFERROR(__xludf.DUMMYFUNCTION("""COMPUTED_VALUE"""),"User biasa tidak bisa akses halaman admin")</f>
        <v>User biasa tidak bisa akses halaman admin</v>
      </c>
      <c r="D57" s="53" t="str">
        <f>IFERROR(__xludf.DUMMYFUNCTION("""COMPUTED_VALUE"""),"1. Login sebagai user biasa (bukan admin/mod)
2. Coba akses /admin/categories secara langsung di URL")</f>
        <v>1. Login sebagai user biasa (bukan admin/mod)
2. Coba akses /admin/categories secara langsung di URL</v>
      </c>
      <c r="E57" s="53" t="str">
        <f>IFERROR(__xludf.DUMMYFUNCTION("""COMPUTED_VALUE"""),"Tampil error atau diarahkan kembali. User tidak bisa melihat atau menggunakan fitur admin.")</f>
        <v>Tampil error atau diarahkan kembali. User tidak bisa melihat atau menggunakan fitur admin.</v>
      </c>
      <c r="F57" s="54" t="s">
        <v>25</v>
      </c>
      <c r="G57" s="53"/>
      <c r="H57" s="53"/>
    </row>
    <row r="58">
      <c r="A58" s="53" t="str">
        <f>IFERROR(__xludf.DUMMYFUNCTION("""COMPUTED_VALUE"""),"Admin - User Management")</f>
        <v>Admin - User Management</v>
      </c>
      <c r="B58" s="53" t="str">
        <f>IFERROR(__xludf.DUMMYFUNCTION("""COMPUTED_VALUE"""),"TC-051")</f>
        <v>TC-051</v>
      </c>
      <c r="C58" s="53" t="str">
        <f>IFERROR(__xludf.DUMMYFUNCTION("""COMPUTED_VALUE"""),"Admin melihat daftar user")</f>
        <v>Admin melihat daftar user</v>
      </c>
      <c r="D58" s="53" t="str">
        <f>IFERROR(__xludf.DUMMYFUNCTION("""COMPUTED_VALUE"""),"1. Login sebagai admin
2. Buka /admin/users")</f>
        <v>1. Login sebagai admin
2. Buka /admin/users</v>
      </c>
      <c r="E58" s="53" t="str">
        <f>IFERROR(__xludf.DUMMYFUNCTION("""COMPUTED_VALUE"""),"Daftar semua user terdaftar tampil lengkap dengan info: username, email, role, dan status.")</f>
        <v>Daftar semua user terdaftar tampil lengkap dengan info: username, email, role, dan status.</v>
      </c>
      <c r="F58" s="54" t="s">
        <v>25</v>
      </c>
      <c r="G58" s="53"/>
      <c r="H58" s="53"/>
    </row>
    <row r="59">
      <c r="A59" s="53" t="str">
        <f>IFERROR(__xludf.DUMMYFUNCTION("""COMPUTED_VALUE"""),"Admin - User Management")</f>
        <v>Admin - User Management</v>
      </c>
      <c r="B59" s="53" t="str">
        <f>IFERROR(__xludf.DUMMYFUNCTION("""COMPUTED_VALUE"""),"TC-052")</f>
        <v>TC-052</v>
      </c>
      <c r="C59" s="53" t="str">
        <f>IFERROR(__xludf.DUMMYFUNCTION("""COMPUTED_VALUE"""),"Admin ban/unban user")</f>
        <v>Admin ban/unban user</v>
      </c>
      <c r="D59" s="53" t="str">
        <f>IFERROR(__xludf.DUMMYFUNCTION("""COMPUTED_VALUE"""),"1. Login sebagai admin
2. Buka /admin/users
3. Cari user target
4. Klik tombol Ban
5. Konfirmasi aksi")</f>
        <v>1. Login sebagai admin
2. Buka /admin/users
3. Cari user target
4. Klik tombol Ban
5. Konfirmasi aksi</v>
      </c>
      <c r="E59" s="53" t="str">
        <f>IFERROR(__xludf.DUMMYFUNCTION("""COMPUTED_VALUE"""),"Status user berubah menjadi ""banned"". User yang di-ban tidak bisa login.")</f>
        <v>Status user berubah menjadi "banned". User yang di-ban tidak bisa login.</v>
      </c>
      <c r="F59" s="54" t="s">
        <v>25</v>
      </c>
      <c r="G59" s="53"/>
      <c r="H59" s="53"/>
    </row>
    <row r="60">
      <c r="A60" s="53" t="str">
        <f>IFERROR(__xludf.DUMMYFUNCTION("""COMPUTED_VALUE"""),"Moderator - Report Management")</f>
        <v>Moderator - Report Management</v>
      </c>
      <c r="B60" s="53" t="str">
        <f>IFERROR(__xludf.DUMMYFUNCTION("""COMPUTED_VALUE"""),"TC-053")</f>
        <v>TC-053</v>
      </c>
      <c r="C60" s="53" t="str">
        <f>IFERROR(__xludf.DUMMYFUNCTION("""COMPUTED_VALUE"""),"Moderator melihat laporan")</f>
        <v>Moderator melihat laporan</v>
      </c>
      <c r="D60" s="53" t="str">
        <f>IFERROR(__xludf.DUMMYFUNCTION("""COMPUTED_VALUE"""),"1. Login sebagai moderator atau admin
2. Buka /mod/reports")</f>
        <v>1. Login sebagai moderator atau admin
2. Buka /mod/reports</v>
      </c>
      <c r="E60" s="53" t="str">
        <f>IFERROR(__xludf.DUMMYFUNCTION("""COMPUTED_VALUE"""),"Daftar laporan (report) dari user tampil lengkap.")</f>
        <v>Daftar laporan (report) dari user tampil lengkap.</v>
      </c>
      <c r="F60" s="54" t="s">
        <v>25</v>
      </c>
      <c r="G60" s="53"/>
      <c r="H60" s="53"/>
    </row>
    <row r="61">
      <c r="A61" s="53" t="str">
        <f>IFERROR(__xludf.DUMMYFUNCTION("""COMPUTED_VALUE"""),"Moderator - Report Management")</f>
        <v>Moderator - Report Management</v>
      </c>
      <c r="B61" s="53" t="str">
        <f>IFERROR(__xludf.DUMMYFUNCTION("""COMPUTED_VALUE"""),"TC-054")</f>
        <v>TC-054</v>
      </c>
      <c r="C61" s="53" t="str">
        <f>IFERROR(__xludf.DUMMYFUNCTION("""COMPUTED_VALUE"""),"User melaporkan thread")</f>
        <v>User melaporkan thread</v>
      </c>
      <c r="D61" s="53" t="str">
        <f>IFERROR(__xludf.DUMMYFUNCTION("""COMPUTED_VALUE"""),"1. Login sebagai user biasa
2. Buka detail thread
3. Klik ikon/tombol ""Laporkan""
4. Isi alasan laporan
5. Submit")</f>
        <v>1. Login sebagai user biasa
2. Buka detail thread
3. Klik ikon/tombol "Laporkan"
4. Isi alasan laporan
5. Submit</v>
      </c>
      <c r="E61" s="53" t="str">
        <f>IFERROR(__xludf.DUMMYFUNCTION("""COMPUTED_VALUE"""),"Laporan berhasil dikirim. Moderator dapat melihat laporan di halaman /mod/reports.")</f>
        <v>Laporan berhasil dikirim. Moderator dapat melihat laporan di halaman /mod/reports.</v>
      </c>
      <c r="F61" s="54" t="s">
        <v>25</v>
      </c>
      <c r="G61" s="53"/>
      <c r="H61" s="53"/>
    </row>
    <row r="62">
      <c r="A62" s="53" t="str">
        <f>IFERROR(__xludf.DUMMYFUNCTION("""COMPUTED_VALUE"""),"UI &amp; Navigation")</f>
        <v>UI &amp; Navigation</v>
      </c>
      <c r="B62" s="53" t="str">
        <f>IFERROR(__xludf.DUMMYFUNCTION("""COMPUTED_VALUE"""),"TC-055")</f>
        <v>TC-055</v>
      </c>
      <c r="C62" s="53" t="str">
        <f>IFERROR(__xludf.DUMMYFUNCTION("""COMPUTED_VALUE"""),"Dark Mode / Light Mode toggle")</f>
        <v>Dark Mode / Light Mode toggle</v>
      </c>
      <c r="D62" s="53" t="str">
        <f>IFERROR(__xludf.DUMMYFUNCTION("""COMPUTED_VALUE"""),"1. Buka aplikasi (bisa sebagai guest)
2. Klik tombol ""Dark Mode"" di bagian bawah sidebar")</f>
        <v>1. Buka aplikasi (bisa sebagai guest)
2. Klik tombol "Dark Mode" di bagian bawah sidebar</v>
      </c>
      <c r="E62" s="53" t="str">
        <f>IFERROR(__xludf.DUMMYFUNCTION("""COMPUTED_VALUE"""),"Tema berubah ke dark mode. Semua halaman menggunakan warna gelap. Klik lagi untuk kembali ke light mode.")</f>
        <v>Tema berubah ke dark mode. Semua halaman menggunakan warna gelap. Klik lagi untuk kembali ke light mode.</v>
      </c>
      <c r="F62" s="54" t="s">
        <v>25</v>
      </c>
      <c r="G62" s="53"/>
      <c r="H62" s="53"/>
    </row>
    <row r="63">
      <c r="A63" s="53" t="str">
        <f>IFERROR(__xludf.DUMMYFUNCTION("""COMPUTED_VALUE"""),"UI &amp; Navigation")</f>
        <v>UI &amp; Navigation</v>
      </c>
      <c r="B63" s="53" t="str">
        <f>IFERROR(__xludf.DUMMYFUNCTION("""COMPUTED_VALUE"""),"TC-056")</f>
        <v>TC-056</v>
      </c>
      <c r="C63" s="53" t="str">
        <f>IFERROR(__xludf.DUMMYFUNCTION("""COMPUTED_VALUE"""),"Halaman 404 untuk URL tidak valid")</f>
        <v>Halaman 404 untuk URL tidak valid</v>
      </c>
      <c r="D63" s="53" t="str">
        <f>IFERROR(__xludf.DUMMYFUNCTION("""COMPUTED_VALUE"""),"1. Buka URL yang tidak ada: /halaman-yang-tidak-ada")</f>
        <v>1. Buka URL yang tidak ada: /halaman-yang-tidak-ada</v>
      </c>
      <c r="E63" s="53" t="str">
        <f>IFERROR(__xludf.DUMMYFUNCTION("""COMPUTED_VALUE"""),"Tampil halaman 404 / Not Found yang informatif (bukan error kosong).")</f>
        <v>Tampil halaman 404 / Not Found yang informatif (bukan error kosong).</v>
      </c>
      <c r="F63" s="54" t="s">
        <v>25</v>
      </c>
      <c r="G63" s="53"/>
      <c r="H63" s="53"/>
    </row>
    <row r="64">
      <c r="A64" s="53" t="str">
        <f>IFERROR(__xludf.DUMMYFUNCTION("""COMPUTED_VALUE"""),"UI &amp; Navigation")</f>
        <v>UI &amp; Navigation</v>
      </c>
      <c r="B64" s="53" t="str">
        <f>IFERROR(__xludf.DUMMYFUNCTION("""COMPUTED_VALUE"""),"TC-057")</f>
        <v>TC-057</v>
      </c>
      <c r="C64" s="53" t="str">
        <f>IFERROR(__xludf.DUMMYFUNCTION("""COMPUTED_VALUE"""),"Responsive layout di mobile (layar kecil)")</f>
        <v>Responsive layout di mobile (layar kecil)</v>
      </c>
      <c r="D64" s="53" t="str">
        <f>IFERROR(__xludf.DUMMYFUNCTION("""COMPUTED_VALUE"""),"1. Buka aplikasi di browser
2. Tekan F12 untuk DevTools
3. Toggle Device Toolbar (Ctrl+Shift+M)
4. Pilih ukuran layar mobile (misal: 375px)
5. Navigasi ke Beranda, Notifikasi, Bookmark, Detail Thread")</f>
        <v>1. Buka aplikasi di browser
2. Tekan F12 untuk DevTools
3. Toggle Device Toolbar (Ctrl+Shift+M)
4. Pilih ukuran layar mobile (misal: 375px)
5. Navigasi ke Beranda, Notifikasi, Bookmark, Detail Thread</v>
      </c>
      <c r="E64" s="53" t="str">
        <f>IFERROR(__xludf.DUMMYFUNCTION("""COMPUTED_VALUE"""),"Sidebar berubah menjadi mobile nav (menu bawah). Layout menyesuaikan. Tidak ada elemen yang overflow/terpotong.")</f>
        <v>Sidebar berubah menjadi mobile nav (menu bawah). Layout menyesuaikan. Tidak ada elemen yang overflow/terpotong.</v>
      </c>
      <c r="F64" s="54" t="s">
        <v>25</v>
      </c>
      <c r="G64" s="53"/>
      <c r="H64" s="53"/>
    </row>
    <row r="65">
      <c r="A65" s="53"/>
      <c r="B65" s="53"/>
      <c r="C65" s="53"/>
      <c r="D65" s="53"/>
      <c r="E65" s="53"/>
      <c r="F65" s="55"/>
      <c r="G65" s="53"/>
      <c r="H65" s="53"/>
    </row>
    <row r="66">
      <c r="A66" s="53"/>
      <c r="B66" s="53"/>
      <c r="C66" s="53"/>
      <c r="D66" s="53"/>
      <c r="E66" s="53"/>
      <c r="F66" s="55"/>
      <c r="G66" s="53"/>
      <c r="H66" s="53"/>
    </row>
    <row r="67">
      <c r="A67" s="53"/>
      <c r="B67" s="53"/>
      <c r="C67" s="53"/>
      <c r="D67" s="53"/>
      <c r="E67" s="53"/>
      <c r="F67" s="55"/>
      <c r="G67" s="53"/>
      <c r="H67" s="53"/>
    </row>
    <row r="68">
      <c r="A68" s="53"/>
      <c r="B68" s="53"/>
      <c r="C68" s="53"/>
      <c r="D68" s="53"/>
      <c r="E68" s="53"/>
      <c r="F68" s="55"/>
      <c r="G68" s="53"/>
      <c r="H68" s="53"/>
    </row>
    <row r="69">
      <c r="A69" s="53"/>
      <c r="B69" s="53"/>
      <c r="C69" s="53"/>
      <c r="D69" s="53"/>
      <c r="E69" s="53"/>
      <c r="F69" s="55"/>
      <c r="G69" s="53"/>
      <c r="H69" s="53"/>
    </row>
    <row r="70">
      <c r="A70" s="53"/>
      <c r="B70" s="53"/>
      <c r="C70" s="53"/>
      <c r="D70" s="53"/>
      <c r="E70" s="53"/>
      <c r="F70" s="55"/>
      <c r="G70" s="53"/>
      <c r="H70" s="53"/>
    </row>
    <row r="71">
      <c r="A71" s="53"/>
      <c r="B71" s="53"/>
      <c r="C71" s="53"/>
      <c r="D71" s="53"/>
      <c r="E71" s="53"/>
      <c r="F71" s="55"/>
      <c r="G71" s="53"/>
      <c r="H71" s="53"/>
    </row>
    <row r="72">
      <c r="A72" s="53"/>
      <c r="B72" s="53"/>
      <c r="C72" s="53"/>
      <c r="D72" s="53"/>
      <c r="E72" s="53"/>
      <c r="F72" s="55"/>
      <c r="G72" s="53"/>
      <c r="H72" s="53"/>
    </row>
    <row r="73">
      <c r="A73" s="53"/>
      <c r="B73" s="53"/>
      <c r="C73" s="53"/>
      <c r="D73" s="53"/>
      <c r="E73" s="53"/>
      <c r="F73" s="55"/>
      <c r="G73" s="53"/>
      <c r="H73" s="53"/>
    </row>
    <row r="74">
      <c r="A74" s="53"/>
      <c r="B74" s="53"/>
      <c r="C74" s="53"/>
      <c r="D74" s="53"/>
      <c r="E74" s="53"/>
      <c r="F74" s="55"/>
      <c r="G74" s="53"/>
      <c r="H74" s="53"/>
    </row>
    <row r="75">
      <c r="A75" s="53"/>
      <c r="B75" s="53"/>
      <c r="C75" s="53"/>
      <c r="D75" s="53"/>
      <c r="E75" s="53"/>
      <c r="F75" s="55"/>
      <c r="G75" s="53"/>
      <c r="H75" s="53"/>
    </row>
    <row r="76">
      <c r="A76" s="53"/>
      <c r="B76" s="53"/>
      <c r="C76" s="53"/>
      <c r="D76" s="53"/>
      <c r="E76" s="53"/>
      <c r="F76" s="55"/>
      <c r="G76" s="53"/>
      <c r="H76" s="53"/>
    </row>
    <row r="77">
      <c r="A77" s="53"/>
      <c r="B77" s="53"/>
      <c r="C77" s="53"/>
      <c r="D77" s="53"/>
      <c r="E77" s="53"/>
      <c r="F77" s="55"/>
      <c r="G77" s="53"/>
      <c r="H77" s="53"/>
    </row>
    <row r="78">
      <c r="A78" s="53"/>
      <c r="B78" s="53"/>
      <c r="C78" s="53"/>
      <c r="D78" s="53"/>
      <c r="E78" s="53"/>
      <c r="F78" s="55"/>
      <c r="G78" s="53"/>
      <c r="H78" s="53"/>
    </row>
    <row r="79">
      <c r="A79" s="53"/>
      <c r="B79" s="53"/>
      <c r="C79" s="53"/>
      <c r="D79" s="53"/>
      <c r="E79" s="53"/>
      <c r="F79" s="55"/>
      <c r="G79" s="53"/>
      <c r="H79" s="53"/>
    </row>
    <row r="80">
      <c r="A80" s="53"/>
      <c r="B80" s="53"/>
      <c r="C80" s="53"/>
      <c r="D80" s="53"/>
      <c r="E80" s="53"/>
      <c r="F80" s="55"/>
      <c r="G80" s="53"/>
      <c r="H80" s="53"/>
    </row>
    <row r="81">
      <c r="A81" s="53"/>
      <c r="B81" s="53"/>
      <c r="C81" s="53"/>
      <c r="D81" s="53"/>
      <c r="E81" s="53"/>
      <c r="F81" s="55"/>
      <c r="G81" s="53"/>
      <c r="H81" s="53"/>
    </row>
    <row r="82">
      <c r="A82" s="53"/>
      <c r="B82" s="53"/>
      <c r="C82" s="53"/>
      <c r="D82" s="53"/>
      <c r="E82" s="53"/>
      <c r="F82" s="55"/>
      <c r="G82" s="53"/>
      <c r="H82" s="53"/>
    </row>
    <row r="83">
      <c r="A83" s="53"/>
      <c r="B83" s="53"/>
      <c r="C83" s="53"/>
      <c r="D83" s="53"/>
      <c r="E83" s="53"/>
      <c r="F83" s="55"/>
      <c r="G83" s="53"/>
      <c r="H83" s="53"/>
    </row>
    <row r="84">
      <c r="A84" s="53"/>
      <c r="B84" s="53"/>
      <c r="C84" s="53"/>
      <c r="D84" s="53"/>
      <c r="E84" s="53"/>
      <c r="F84" s="55"/>
      <c r="G84" s="53"/>
      <c r="H84" s="53"/>
    </row>
    <row r="85">
      <c r="A85" s="53"/>
      <c r="B85" s="53"/>
      <c r="C85" s="53"/>
      <c r="D85" s="53"/>
      <c r="E85" s="53"/>
      <c r="F85" s="55"/>
      <c r="G85" s="53"/>
      <c r="H85" s="53"/>
    </row>
    <row r="86">
      <c r="A86" s="53"/>
      <c r="B86" s="53"/>
      <c r="C86" s="53"/>
      <c r="D86" s="53"/>
      <c r="E86" s="53"/>
      <c r="F86" s="55"/>
      <c r="G86" s="53"/>
      <c r="H86" s="53"/>
    </row>
    <row r="87">
      <c r="A87" s="53"/>
      <c r="B87" s="53"/>
      <c r="C87" s="53"/>
      <c r="D87" s="53"/>
      <c r="E87" s="53"/>
      <c r="F87" s="55"/>
      <c r="G87" s="53"/>
      <c r="H87" s="53"/>
    </row>
    <row r="88">
      <c r="A88" s="53"/>
      <c r="B88" s="53"/>
      <c r="C88" s="53"/>
      <c r="D88" s="53"/>
      <c r="E88" s="53"/>
      <c r="F88" s="55"/>
      <c r="G88" s="53"/>
      <c r="H88" s="53"/>
    </row>
    <row r="89">
      <c r="A89" s="53"/>
      <c r="B89" s="53"/>
      <c r="C89" s="53"/>
      <c r="D89" s="53"/>
      <c r="E89" s="53"/>
      <c r="F89" s="55"/>
      <c r="G89" s="53"/>
      <c r="H89" s="53"/>
    </row>
    <row r="90">
      <c r="A90" s="53"/>
      <c r="B90" s="53"/>
      <c r="C90" s="53"/>
      <c r="D90" s="53"/>
      <c r="E90" s="53"/>
      <c r="F90" s="55"/>
      <c r="G90" s="53"/>
      <c r="H90" s="53"/>
    </row>
    <row r="91">
      <c r="A91" s="53"/>
      <c r="B91" s="53"/>
      <c r="C91" s="53"/>
      <c r="D91" s="53"/>
      <c r="E91" s="53"/>
      <c r="F91" s="55"/>
      <c r="G91" s="53"/>
      <c r="H91" s="53"/>
    </row>
    <row r="92">
      <c r="A92" s="53"/>
      <c r="B92" s="53"/>
      <c r="C92" s="53"/>
      <c r="D92" s="53"/>
      <c r="E92" s="53"/>
      <c r="F92" s="55"/>
      <c r="G92" s="53"/>
      <c r="H92" s="53"/>
    </row>
    <row r="93">
      <c r="A93" s="53"/>
      <c r="B93" s="53"/>
      <c r="C93" s="53"/>
      <c r="D93" s="53"/>
      <c r="E93" s="53"/>
      <c r="F93" s="55"/>
      <c r="G93" s="53"/>
      <c r="H93" s="53"/>
    </row>
    <row r="94">
      <c r="A94" s="53"/>
      <c r="B94" s="53"/>
      <c r="C94" s="53"/>
      <c r="D94" s="53"/>
      <c r="E94" s="53"/>
      <c r="F94" s="55"/>
      <c r="G94" s="53"/>
      <c r="H94" s="53"/>
    </row>
    <row r="95">
      <c r="A95" s="53"/>
      <c r="B95" s="53"/>
      <c r="C95" s="53"/>
      <c r="D95" s="53"/>
      <c r="E95" s="53"/>
      <c r="F95" s="55"/>
      <c r="G95" s="53"/>
      <c r="H95" s="53"/>
    </row>
    <row r="96">
      <c r="A96" s="53"/>
      <c r="B96" s="53"/>
      <c r="C96" s="53"/>
      <c r="D96" s="53"/>
      <c r="E96" s="53"/>
      <c r="F96" s="55"/>
      <c r="G96" s="53"/>
      <c r="H96" s="53"/>
    </row>
    <row r="97">
      <c r="A97" s="53"/>
      <c r="B97" s="53"/>
      <c r="C97" s="53"/>
      <c r="D97" s="53"/>
      <c r="E97" s="53"/>
      <c r="F97" s="55"/>
      <c r="G97" s="53"/>
      <c r="H97" s="53"/>
    </row>
    <row r="98">
      <c r="A98" s="53"/>
      <c r="B98" s="53"/>
      <c r="C98" s="53"/>
      <c r="D98" s="53"/>
      <c r="E98" s="53"/>
      <c r="F98" s="55"/>
      <c r="G98" s="53"/>
      <c r="H98" s="53"/>
    </row>
    <row r="99">
      <c r="A99" s="53"/>
      <c r="B99" s="53"/>
      <c r="C99" s="53"/>
      <c r="D99" s="53"/>
      <c r="E99" s="53"/>
      <c r="F99" s="55"/>
      <c r="G99" s="53"/>
      <c r="H99" s="53"/>
    </row>
    <row r="100">
      <c r="A100" s="53"/>
      <c r="B100" s="53"/>
      <c r="C100" s="53"/>
      <c r="D100" s="53"/>
      <c r="E100" s="53"/>
      <c r="F100" s="55"/>
      <c r="G100" s="53"/>
      <c r="H100" s="53"/>
    </row>
    <row r="101">
      <c r="F101" s="56"/>
    </row>
    <row r="102">
      <c r="F102" s="56"/>
    </row>
    <row r="103">
      <c r="F103" s="56"/>
    </row>
    <row r="104">
      <c r="F104" s="56"/>
    </row>
    <row r="105">
      <c r="F105" s="56"/>
    </row>
    <row r="106">
      <c r="F106" s="56"/>
    </row>
    <row r="107">
      <c r="F107" s="56"/>
    </row>
    <row r="108">
      <c r="F108" s="56"/>
    </row>
    <row r="109">
      <c r="F109" s="56"/>
    </row>
    <row r="110">
      <c r="F110" s="56"/>
    </row>
    <row r="111">
      <c r="F111" s="56"/>
    </row>
    <row r="112">
      <c r="F112" s="56"/>
    </row>
    <row r="113">
      <c r="F113" s="56"/>
    </row>
    <row r="114">
      <c r="F114" s="56"/>
    </row>
    <row r="115">
      <c r="F115" s="56"/>
    </row>
    <row r="116">
      <c r="F116" s="56"/>
    </row>
    <row r="117">
      <c r="F117" s="56"/>
    </row>
    <row r="118">
      <c r="F118" s="56"/>
    </row>
    <row r="119">
      <c r="F119" s="56"/>
    </row>
    <row r="120">
      <c r="F120" s="56"/>
    </row>
    <row r="121">
      <c r="F121" s="56"/>
    </row>
    <row r="122">
      <c r="F122" s="56"/>
    </row>
    <row r="123">
      <c r="F123" s="56"/>
    </row>
    <row r="124">
      <c r="F124" s="56"/>
    </row>
    <row r="125">
      <c r="F125" s="56"/>
    </row>
    <row r="126">
      <c r="F126" s="56"/>
    </row>
    <row r="127">
      <c r="F127" s="56"/>
    </row>
    <row r="128">
      <c r="F128" s="56"/>
    </row>
    <row r="129">
      <c r="F129" s="56"/>
    </row>
    <row r="130">
      <c r="F130" s="56"/>
    </row>
    <row r="131">
      <c r="F131" s="56"/>
    </row>
    <row r="132">
      <c r="F132" s="56"/>
    </row>
    <row r="133">
      <c r="F133" s="56"/>
    </row>
    <row r="134">
      <c r="F134" s="56"/>
    </row>
    <row r="135">
      <c r="F135" s="56"/>
    </row>
    <row r="136">
      <c r="F136" s="56"/>
    </row>
    <row r="137">
      <c r="F137" s="56"/>
    </row>
    <row r="138">
      <c r="F138" s="56"/>
    </row>
    <row r="139">
      <c r="F139" s="56"/>
    </row>
    <row r="140">
      <c r="F140" s="56"/>
    </row>
    <row r="141">
      <c r="F141" s="56"/>
    </row>
    <row r="142">
      <c r="F142" s="56"/>
    </row>
    <row r="143">
      <c r="F143" s="56"/>
    </row>
    <row r="144">
      <c r="F144" s="56"/>
    </row>
    <row r="145">
      <c r="F145" s="56"/>
    </row>
    <row r="146">
      <c r="F146" s="56"/>
    </row>
    <row r="147">
      <c r="F147" s="56"/>
    </row>
    <row r="148">
      <c r="F148" s="56"/>
    </row>
    <row r="149">
      <c r="F149" s="56"/>
    </row>
    <row r="150">
      <c r="F150" s="56"/>
    </row>
    <row r="151">
      <c r="F151" s="56"/>
    </row>
    <row r="152">
      <c r="F152" s="56"/>
    </row>
    <row r="153">
      <c r="F153" s="56"/>
    </row>
    <row r="154">
      <c r="F154" s="56"/>
    </row>
    <row r="155">
      <c r="F155" s="56"/>
    </row>
    <row r="156">
      <c r="F156" s="56"/>
    </row>
    <row r="157">
      <c r="F157" s="56"/>
    </row>
    <row r="158">
      <c r="F158" s="56"/>
    </row>
    <row r="159">
      <c r="F159" s="56"/>
    </row>
    <row r="160">
      <c r="F160" s="56"/>
    </row>
    <row r="161">
      <c r="F161" s="56"/>
    </row>
    <row r="162">
      <c r="F162" s="56"/>
    </row>
    <row r="163">
      <c r="F163" s="56"/>
    </row>
    <row r="164">
      <c r="F164" s="56"/>
    </row>
    <row r="165">
      <c r="F165" s="56"/>
    </row>
    <row r="166">
      <c r="F166" s="56"/>
    </row>
    <row r="167">
      <c r="F167" s="56"/>
    </row>
    <row r="168">
      <c r="F168" s="56"/>
    </row>
    <row r="169">
      <c r="F169" s="56"/>
    </row>
    <row r="170">
      <c r="F170" s="56"/>
    </row>
    <row r="171">
      <c r="F171" s="56"/>
    </row>
    <row r="172">
      <c r="F172" s="56"/>
    </row>
    <row r="173">
      <c r="F173" s="56"/>
    </row>
    <row r="174">
      <c r="F174" s="56"/>
    </row>
    <row r="175">
      <c r="F175" s="56"/>
    </row>
    <row r="176">
      <c r="F176" s="56"/>
    </row>
    <row r="177">
      <c r="F177" s="56"/>
    </row>
    <row r="178">
      <c r="F178" s="56"/>
    </row>
    <row r="179">
      <c r="F179" s="56"/>
    </row>
    <row r="180">
      <c r="F180" s="56"/>
    </row>
    <row r="181">
      <c r="F181" s="56"/>
    </row>
    <row r="182">
      <c r="F182" s="56"/>
    </row>
    <row r="183">
      <c r="F183" s="56"/>
    </row>
    <row r="184">
      <c r="F184" s="56"/>
    </row>
    <row r="185">
      <c r="F185" s="56"/>
    </row>
    <row r="186">
      <c r="F186" s="56"/>
    </row>
    <row r="187">
      <c r="F187" s="56"/>
    </row>
    <row r="188">
      <c r="F188" s="56"/>
    </row>
    <row r="189">
      <c r="F189" s="56"/>
    </row>
    <row r="190">
      <c r="F190" s="56"/>
    </row>
    <row r="191">
      <c r="F191" s="56"/>
    </row>
    <row r="192">
      <c r="F192" s="56"/>
    </row>
    <row r="193">
      <c r="F193" s="56"/>
    </row>
    <row r="194">
      <c r="F194" s="56"/>
    </row>
    <row r="195">
      <c r="F195" s="56"/>
    </row>
    <row r="196">
      <c r="F196" s="56"/>
    </row>
    <row r="197">
      <c r="F197" s="56"/>
    </row>
    <row r="198">
      <c r="F198" s="56"/>
    </row>
    <row r="199">
      <c r="F199" s="56"/>
    </row>
    <row r="200">
      <c r="F200" s="56"/>
    </row>
    <row r="201">
      <c r="F201" s="56"/>
    </row>
    <row r="202">
      <c r="F202" s="56"/>
    </row>
    <row r="203">
      <c r="F203" s="56"/>
    </row>
    <row r="204">
      <c r="F204" s="56"/>
    </row>
    <row r="205">
      <c r="F205" s="56"/>
    </row>
    <row r="206">
      <c r="F206" s="56"/>
    </row>
    <row r="207">
      <c r="F207" s="56"/>
    </row>
    <row r="208">
      <c r="F208" s="56"/>
    </row>
    <row r="209">
      <c r="F209" s="56"/>
    </row>
    <row r="210">
      <c r="F210" s="56"/>
    </row>
    <row r="211">
      <c r="F211" s="56"/>
    </row>
    <row r="212">
      <c r="F212" s="56"/>
    </row>
    <row r="213">
      <c r="F213" s="56"/>
    </row>
    <row r="214">
      <c r="F214" s="56"/>
    </row>
    <row r="215">
      <c r="F215" s="56"/>
    </row>
    <row r="216">
      <c r="F216" s="56"/>
    </row>
    <row r="217">
      <c r="F217" s="56"/>
    </row>
    <row r="218">
      <c r="F218" s="56"/>
    </row>
    <row r="219">
      <c r="F219" s="56"/>
    </row>
    <row r="220">
      <c r="F220" s="56"/>
    </row>
    <row r="221">
      <c r="F221" s="56"/>
    </row>
    <row r="222">
      <c r="F222" s="56"/>
    </row>
    <row r="223">
      <c r="F223" s="56"/>
    </row>
    <row r="224">
      <c r="F224" s="56"/>
    </row>
    <row r="225">
      <c r="F225" s="56"/>
    </row>
    <row r="226">
      <c r="F226" s="56"/>
    </row>
    <row r="227">
      <c r="F227" s="56"/>
    </row>
    <row r="228">
      <c r="F228" s="56"/>
    </row>
    <row r="229">
      <c r="F229" s="56"/>
    </row>
    <row r="230">
      <c r="F230" s="56"/>
    </row>
    <row r="231">
      <c r="F231" s="56"/>
    </row>
    <row r="232">
      <c r="F232" s="56"/>
    </row>
    <row r="233">
      <c r="F233" s="56"/>
    </row>
    <row r="234">
      <c r="F234" s="56"/>
    </row>
    <row r="235">
      <c r="F235" s="56"/>
    </row>
    <row r="236">
      <c r="F236" s="56"/>
    </row>
    <row r="237">
      <c r="F237" s="56"/>
    </row>
    <row r="238">
      <c r="F238" s="56"/>
    </row>
    <row r="239">
      <c r="F239" s="56"/>
    </row>
    <row r="240">
      <c r="F240" s="56"/>
    </row>
    <row r="241">
      <c r="F241" s="56"/>
    </row>
    <row r="242">
      <c r="F242" s="56"/>
    </row>
    <row r="243">
      <c r="F243" s="56"/>
    </row>
    <row r="244">
      <c r="F244" s="56"/>
    </row>
    <row r="245">
      <c r="F245" s="56"/>
    </row>
    <row r="246">
      <c r="F246" s="56"/>
    </row>
    <row r="247">
      <c r="F247" s="56"/>
    </row>
    <row r="248">
      <c r="F248" s="56"/>
    </row>
    <row r="249">
      <c r="F249" s="56"/>
    </row>
    <row r="250">
      <c r="F250" s="56"/>
    </row>
    <row r="251">
      <c r="F251" s="56"/>
    </row>
    <row r="252">
      <c r="F252" s="56"/>
    </row>
    <row r="253">
      <c r="F253" s="56"/>
    </row>
    <row r="254">
      <c r="F254" s="56"/>
    </row>
    <row r="255">
      <c r="F255" s="56"/>
    </row>
    <row r="256">
      <c r="F256" s="56"/>
    </row>
    <row r="257">
      <c r="F257" s="56"/>
    </row>
    <row r="258">
      <c r="F258" s="56"/>
    </row>
    <row r="259">
      <c r="F259" s="56"/>
    </row>
    <row r="260">
      <c r="F260" s="56"/>
    </row>
    <row r="261">
      <c r="F261" s="56"/>
    </row>
    <row r="262">
      <c r="F262" s="56"/>
    </row>
    <row r="263">
      <c r="F263" s="56"/>
    </row>
    <row r="264">
      <c r="F264" s="56"/>
    </row>
    <row r="265">
      <c r="F265" s="56"/>
    </row>
    <row r="266">
      <c r="F266" s="56"/>
    </row>
    <row r="267">
      <c r="F267" s="56"/>
    </row>
    <row r="268">
      <c r="F268" s="56"/>
    </row>
    <row r="269">
      <c r="F269" s="56"/>
    </row>
    <row r="270">
      <c r="F270" s="56"/>
    </row>
    <row r="271">
      <c r="F271" s="56"/>
    </row>
    <row r="272">
      <c r="F272" s="56"/>
    </row>
    <row r="273">
      <c r="F273" s="56"/>
    </row>
    <row r="274">
      <c r="F274" s="56"/>
    </row>
    <row r="275">
      <c r="F275" s="56"/>
    </row>
    <row r="276">
      <c r="F276" s="56"/>
    </row>
    <row r="277">
      <c r="F277" s="56"/>
    </row>
    <row r="278">
      <c r="F278" s="56"/>
    </row>
    <row r="279">
      <c r="F279" s="56"/>
    </row>
    <row r="280">
      <c r="F280" s="56"/>
    </row>
    <row r="281">
      <c r="F281" s="56"/>
    </row>
    <row r="282">
      <c r="F282" s="56"/>
    </row>
    <row r="283">
      <c r="F283" s="56"/>
    </row>
    <row r="284">
      <c r="F284" s="56"/>
    </row>
    <row r="285">
      <c r="F285" s="56"/>
    </row>
    <row r="286">
      <c r="F286" s="56"/>
    </row>
    <row r="287">
      <c r="F287" s="56"/>
    </row>
    <row r="288">
      <c r="F288" s="56"/>
    </row>
    <row r="289">
      <c r="F289" s="56"/>
    </row>
    <row r="290">
      <c r="F290" s="56"/>
    </row>
    <row r="291">
      <c r="F291" s="56"/>
    </row>
    <row r="292">
      <c r="F292" s="56"/>
    </row>
    <row r="293">
      <c r="F293" s="56"/>
    </row>
    <row r="294">
      <c r="F294" s="56"/>
    </row>
    <row r="295">
      <c r="F295" s="56"/>
    </row>
    <row r="296">
      <c r="F296" s="56"/>
    </row>
    <row r="297">
      <c r="F297" s="56"/>
    </row>
    <row r="298">
      <c r="F298" s="56"/>
    </row>
    <row r="299">
      <c r="F299" s="56"/>
    </row>
    <row r="300">
      <c r="F300" s="56"/>
    </row>
    <row r="301">
      <c r="F301" s="56"/>
    </row>
    <row r="302">
      <c r="F302" s="56"/>
    </row>
    <row r="303">
      <c r="F303" s="56"/>
    </row>
    <row r="304">
      <c r="F304" s="56"/>
    </row>
    <row r="305">
      <c r="F305" s="56"/>
    </row>
    <row r="306">
      <c r="F306" s="56"/>
    </row>
    <row r="307">
      <c r="F307" s="56"/>
    </row>
    <row r="308">
      <c r="F308" s="56"/>
    </row>
    <row r="309">
      <c r="F309" s="56"/>
    </row>
    <row r="310">
      <c r="F310" s="56"/>
    </row>
    <row r="311">
      <c r="F311" s="56"/>
    </row>
    <row r="312">
      <c r="F312" s="56"/>
    </row>
    <row r="313">
      <c r="F313" s="56"/>
    </row>
    <row r="314">
      <c r="F314" s="56"/>
    </row>
    <row r="315">
      <c r="F315" s="56"/>
    </row>
    <row r="316">
      <c r="F316" s="56"/>
    </row>
    <row r="317">
      <c r="F317" s="56"/>
    </row>
    <row r="318">
      <c r="F318" s="56"/>
    </row>
    <row r="319">
      <c r="F319" s="56"/>
    </row>
    <row r="320">
      <c r="F320" s="56"/>
    </row>
    <row r="321">
      <c r="F321" s="56"/>
    </row>
    <row r="322">
      <c r="F322" s="56"/>
    </row>
    <row r="323">
      <c r="F323" s="56"/>
    </row>
    <row r="324">
      <c r="F324" s="56"/>
    </row>
    <row r="325">
      <c r="F325" s="56"/>
    </row>
    <row r="326">
      <c r="F326" s="56"/>
    </row>
    <row r="327">
      <c r="F327" s="56"/>
    </row>
    <row r="328">
      <c r="F328" s="56"/>
    </row>
    <row r="329">
      <c r="F329" s="56"/>
    </row>
    <row r="330">
      <c r="F330" s="56"/>
    </row>
    <row r="331">
      <c r="F331" s="56"/>
    </row>
    <row r="332">
      <c r="F332" s="56"/>
    </row>
    <row r="333">
      <c r="F333" s="56"/>
    </row>
    <row r="334">
      <c r="F334" s="56"/>
    </row>
    <row r="335">
      <c r="F335" s="56"/>
    </row>
    <row r="336">
      <c r="F336" s="56"/>
    </row>
    <row r="337">
      <c r="F337" s="56"/>
    </row>
    <row r="338">
      <c r="F338" s="56"/>
    </row>
    <row r="339">
      <c r="F339" s="56"/>
    </row>
    <row r="340">
      <c r="F340" s="56"/>
    </row>
    <row r="341">
      <c r="F341" s="56"/>
    </row>
    <row r="342">
      <c r="F342" s="56"/>
    </row>
    <row r="343">
      <c r="F343" s="56"/>
    </row>
    <row r="344">
      <c r="F344" s="56"/>
    </row>
    <row r="345">
      <c r="F345" s="56"/>
    </row>
    <row r="346">
      <c r="F346" s="56"/>
    </row>
    <row r="347">
      <c r="F347" s="56"/>
    </row>
    <row r="348">
      <c r="F348" s="56"/>
    </row>
    <row r="349">
      <c r="F349" s="56"/>
    </row>
    <row r="350">
      <c r="F350" s="56"/>
    </row>
    <row r="351">
      <c r="F351" s="56"/>
    </row>
    <row r="352">
      <c r="F352" s="56"/>
    </row>
    <row r="353">
      <c r="F353" s="56"/>
    </row>
    <row r="354">
      <c r="F354" s="56"/>
    </row>
    <row r="355">
      <c r="F355" s="56"/>
    </row>
    <row r="356">
      <c r="F356" s="56"/>
    </row>
    <row r="357">
      <c r="F357" s="56"/>
    </row>
    <row r="358">
      <c r="F358" s="56"/>
    </row>
    <row r="359">
      <c r="F359" s="56"/>
    </row>
    <row r="360">
      <c r="F360" s="56"/>
    </row>
    <row r="361">
      <c r="F361" s="56"/>
    </row>
    <row r="362">
      <c r="F362" s="56"/>
    </row>
    <row r="363">
      <c r="F363" s="56"/>
    </row>
    <row r="364">
      <c r="F364" s="56"/>
    </row>
    <row r="365">
      <c r="F365" s="56"/>
    </row>
    <row r="366">
      <c r="F366" s="56"/>
    </row>
    <row r="367">
      <c r="F367" s="56"/>
    </row>
    <row r="368">
      <c r="F368" s="56"/>
    </row>
    <row r="369">
      <c r="F369" s="56"/>
    </row>
    <row r="370">
      <c r="F370" s="56"/>
    </row>
    <row r="371">
      <c r="F371" s="56"/>
    </row>
    <row r="372">
      <c r="F372" s="56"/>
    </row>
    <row r="373">
      <c r="F373" s="56"/>
    </row>
    <row r="374">
      <c r="F374" s="56"/>
    </row>
    <row r="375">
      <c r="F375" s="56"/>
    </row>
    <row r="376">
      <c r="F376" s="56"/>
    </row>
    <row r="377">
      <c r="F377" s="56"/>
    </row>
    <row r="378">
      <c r="F378" s="56"/>
    </row>
    <row r="379">
      <c r="F379" s="56"/>
    </row>
    <row r="380">
      <c r="F380" s="56"/>
    </row>
    <row r="381">
      <c r="F381" s="56"/>
    </row>
    <row r="382">
      <c r="F382" s="56"/>
    </row>
    <row r="383">
      <c r="F383" s="56"/>
    </row>
    <row r="384">
      <c r="F384" s="56"/>
    </row>
    <row r="385">
      <c r="F385" s="56"/>
    </row>
    <row r="386">
      <c r="F386" s="56"/>
    </row>
    <row r="387">
      <c r="F387" s="56"/>
    </row>
    <row r="388">
      <c r="F388" s="56"/>
    </row>
    <row r="389">
      <c r="F389" s="56"/>
    </row>
    <row r="390">
      <c r="F390" s="56"/>
    </row>
    <row r="391">
      <c r="F391" s="56"/>
    </row>
    <row r="392">
      <c r="F392" s="56"/>
    </row>
    <row r="393">
      <c r="F393" s="56"/>
    </row>
    <row r="394">
      <c r="F394" s="56"/>
    </row>
    <row r="395">
      <c r="F395" s="56"/>
    </row>
    <row r="396">
      <c r="F396" s="56"/>
    </row>
    <row r="397">
      <c r="F397" s="56"/>
    </row>
    <row r="398">
      <c r="F398" s="56"/>
    </row>
    <row r="399">
      <c r="F399" s="56"/>
    </row>
    <row r="400">
      <c r="F400" s="56"/>
    </row>
    <row r="401">
      <c r="F401" s="56"/>
    </row>
    <row r="402">
      <c r="F402" s="56"/>
    </row>
    <row r="403">
      <c r="F403" s="56"/>
    </row>
    <row r="404">
      <c r="F404" s="56"/>
    </row>
    <row r="405">
      <c r="F405" s="56"/>
    </row>
    <row r="406">
      <c r="F406" s="56"/>
    </row>
    <row r="407">
      <c r="F407" s="56"/>
    </row>
    <row r="408">
      <c r="F408" s="56"/>
    </row>
    <row r="409">
      <c r="F409" s="56"/>
    </row>
    <row r="410">
      <c r="F410" s="56"/>
    </row>
    <row r="411">
      <c r="F411" s="56"/>
    </row>
    <row r="412">
      <c r="F412" s="56"/>
    </row>
    <row r="413">
      <c r="F413" s="56"/>
    </row>
    <row r="414">
      <c r="F414" s="56"/>
    </row>
    <row r="415">
      <c r="F415" s="56"/>
    </row>
    <row r="416">
      <c r="F416" s="56"/>
    </row>
    <row r="417">
      <c r="F417" s="56"/>
    </row>
    <row r="418">
      <c r="F418" s="56"/>
    </row>
    <row r="419">
      <c r="F419" s="56"/>
    </row>
    <row r="420">
      <c r="F420" s="56"/>
    </row>
    <row r="421">
      <c r="F421" s="56"/>
    </row>
    <row r="422">
      <c r="F422" s="56"/>
    </row>
    <row r="423">
      <c r="F423" s="56"/>
    </row>
    <row r="424">
      <c r="F424" s="56"/>
    </row>
    <row r="425">
      <c r="F425" s="56"/>
    </row>
    <row r="426">
      <c r="F426" s="56"/>
    </row>
    <row r="427">
      <c r="F427" s="56"/>
    </row>
    <row r="428">
      <c r="F428" s="56"/>
    </row>
    <row r="429">
      <c r="F429" s="56"/>
    </row>
    <row r="430">
      <c r="F430" s="56"/>
    </row>
    <row r="431">
      <c r="F431" s="56"/>
    </row>
    <row r="432">
      <c r="F432" s="56"/>
    </row>
    <row r="433">
      <c r="F433" s="56"/>
    </row>
    <row r="434">
      <c r="F434" s="56"/>
    </row>
    <row r="435">
      <c r="F435" s="56"/>
    </row>
    <row r="436">
      <c r="F436" s="56"/>
    </row>
    <row r="437">
      <c r="F437" s="56"/>
    </row>
    <row r="438">
      <c r="F438" s="56"/>
    </row>
    <row r="439">
      <c r="F439" s="56"/>
    </row>
    <row r="440">
      <c r="F440" s="56"/>
    </row>
    <row r="441">
      <c r="F441" s="56"/>
    </row>
    <row r="442">
      <c r="F442" s="56"/>
    </row>
    <row r="443">
      <c r="F443" s="56"/>
    </row>
    <row r="444">
      <c r="F444" s="56"/>
    </row>
    <row r="445">
      <c r="F445" s="56"/>
    </row>
    <row r="446">
      <c r="F446" s="56"/>
    </row>
    <row r="447">
      <c r="F447" s="56"/>
    </row>
    <row r="448">
      <c r="F448" s="56"/>
    </row>
    <row r="449">
      <c r="F449" s="56"/>
    </row>
    <row r="450">
      <c r="F450" s="56"/>
    </row>
    <row r="451">
      <c r="F451" s="56"/>
    </row>
    <row r="452">
      <c r="F452" s="56"/>
    </row>
    <row r="453">
      <c r="F453" s="56"/>
    </row>
    <row r="454">
      <c r="F454" s="56"/>
    </row>
    <row r="455">
      <c r="F455" s="56"/>
    </row>
    <row r="456">
      <c r="F456" s="56"/>
    </row>
    <row r="457">
      <c r="F457" s="56"/>
    </row>
    <row r="458">
      <c r="F458" s="56"/>
    </row>
    <row r="459">
      <c r="F459" s="56"/>
    </row>
    <row r="460">
      <c r="F460" s="56"/>
    </row>
    <row r="461">
      <c r="F461" s="56"/>
    </row>
    <row r="462">
      <c r="F462" s="56"/>
    </row>
    <row r="463">
      <c r="F463" s="56"/>
    </row>
    <row r="464">
      <c r="F464" s="56"/>
    </row>
    <row r="465">
      <c r="F465" s="56"/>
    </row>
    <row r="466">
      <c r="F466" s="56"/>
    </row>
    <row r="467">
      <c r="F467" s="56"/>
    </row>
    <row r="468">
      <c r="F468" s="56"/>
    </row>
    <row r="469">
      <c r="F469" s="56"/>
    </row>
    <row r="470">
      <c r="F470" s="56"/>
    </row>
    <row r="471">
      <c r="F471" s="56"/>
    </row>
    <row r="472">
      <c r="F472" s="56"/>
    </row>
    <row r="473">
      <c r="F473" s="56"/>
    </row>
    <row r="474">
      <c r="F474" s="56"/>
    </row>
    <row r="475">
      <c r="F475" s="56"/>
    </row>
    <row r="476">
      <c r="F476" s="56"/>
    </row>
    <row r="477">
      <c r="F477" s="56"/>
    </row>
    <row r="478">
      <c r="F478" s="56"/>
    </row>
    <row r="479">
      <c r="F479" s="56"/>
    </row>
    <row r="480">
      <c r="F480" s="56"/>
    </row>
    <row r="481">
      <c r="F481" s="56"/>
    </row>
    <row r="482">
      <c r="F482" s="56"/>
    </row>
    <row r="483">
      <c r="F483" s="56"/>
    </row>
    <row r="484">
      <c r="F484" s="56"/>
    </row>
    <row r="485">
      <c r="F485" s="56"/>
    </row>
    <row r="486">
      <c r="F486" s="56"/>
    </row>
    <row r="487">
      <c r="F487" s="56"/>
    </row>
    <row r="488">
      <c r="F488" s="56"/>
    </row>
    <row r="489">
      <c r="F489" s="56"/>
    </row>
    <row r="490">
      <c r="F490" s="56"/>
    </row>
    <row r="491">
      <c r="F491" s="56"/>
    </row>
    <row r="492">
      <c r="F492" s="56"/>
    </row>
    <row r="493">
      <c r="F493" s="56"/>
    </row>
    <row r="494">
      <c r="F494" s="56"/>
    </row>
    <row r="495">
      <c r="F495" s="56"/>
    </row>
    <row r="496">
      <c r="F496" s="56"/>
    </row>
    <row r="497">
      <c r="F497" s="56"/>
    </row>
    <row r="498">
      <c r="F498" s="56"/>
    </row>
    <row r="499">
      <c r="F499" s="56"/>
    </row>
    <row r="500">
      <c r="F500" s="56"/>
    </row>
    <row r="501">
      <c r="F501" s="56"/>
    </row>
    <row r="502">
      <c r="F502" s="56"/>
    </row>
    <row r="503">
      <c r="F503" s="56"/>
    </row>
    <row r="504">
      <c r="F504" s="56"/>
    </row>
    <row r="505">
      <c r="F505" s="56"/>
    </row>
    <row r="506">
      <c r="F506" s="56"/>
    </row>
    <row r="507">
      <c r="F507" s="56"/>
    </row>
    <row r="508">
      <c r="F508" s="56"/>
    </row>
    <row r="509">
      <c r="F509" s="56"/>
    </row>
    <row r="510">
      <c r="F510" s="56"/>
    </row>
    <row r="511">
      <c r="F511" s="56"/>
    </row>
    <row r="512">
      <c r="F512" s="56"/>
    </row>
    <row r="513">
      <c r="F513" s="56"/>
    </row>
    <row r="514">
      <c r="F514" s="56"/>
    </row>
    <row r="515">
      <c r="F515" s="56"/>
    </row>
    <row r="516">
      <c r="F516" s="56"/>
    </row>
    <row r="517">
      <c r="F517" s="56"/>
    </row>
    <row r="518">
      <c r="F518" s="56"/>
    </row>
    <row r="519">
      <c r="F519" s="56"/>
    </row>
    <row r="520">
      <c r="F520" s="56"/>
    </row>
    <row r="521">
      <c r="F521" s="56"/>
    </row>
    <row r="522">
      <c r="F522" s="56"/>
    </row>
    <row r="523">
      <c r="F523" s="56"/>
    </row>
    <row r="524">
      <c r="F524" s="56"/>
    </row>
    <row r="525">
      <c r="F525" s="56"/>
    </row>
    <row r="526">
      <c r="F526" s="56"/>
    </row>
    <row r="527">
      <c r="F527" s="56"/>
    </row>
    <row r="528">
      <c r="F528" s="56"/>
    </row>
    <row r="529">
      <c r="F529" s="56"/>
    </row>
    <row r="530">
      <c r="F530" s="56"/>
    </row>
    <row r="531">
      <c r="F531" s="56"/>
    </row>
    <row r="532">
      <c r="F532" s="56"/>
    </row>
    <row r="533">
      <c r="F533" s="56"/>
    </row>
    <row r="534">
      <c r="F534" s="56"/>
    </row>
    <row r="535">
      <c r="F535" s="56"/>
    </row>
    <row r="536">
      <c r="F536" s="56"/>
    </row>
    <row r="537">
      <c r="F537" s="56"/>
    </row>
    <row r="538">
      <c r="F538" s="56"/>
    </row>
    <row r="539">
      <c r="F539" s="56"/>
    </row>
    <row r="540">
      <c r="F540" s="56"/>
    </row>
    <row r="541">
      <c r="F541" s="56"/>
    </row>
    <row r="542">
      <c r="F542" s="56"/>
    </row>
    <row r="543">
      <c r="F543" s="56"/>
    </row>
    <row r="544">
      <c r="F544" s="56"/>
    </row>
    <row r="545">
      <c r="F545" s="56"/>
    </row>
    <row r="546">
      <c r="F546" s="56"/>
    </row>
    <row r="547">
      <c r="F547" s="56"/>
    </row>
    <row r="548">
      <c r="F548" s="56"/>
    </row>
    <row r="549">
      <c r="F549" s="56"/>
    </row>
    <row r="550">
      <c r="F550" s="56"/>
    </row>
    <row r="551">
      <c r="F551" s="56"/>
    </row>
    <row r="552">
      <c r="F552" s="56"/>
    </row>
    <row r="553">
      <c r="F553" s="56"/>
    </row>
    <row r="554">
      <c r="F554" s="56"/>
    </row>
    <row r="555">
      <c r="F555" s="56"/>
    </row>
    <row r="556">
      <c r="F556" s="56"/>
    </row>
    <row r="557">
      <c r="F557" s="56"/>
    </row>
    <row r="558">
      <c r="F558" s="56"/>
    </row>
    <row r="559">
      <c r="F559" s="56"/>
    </row>
    <row r="560">
      <c r="F560" s="56"/>
    </row>
    <row r="561">
      <c r="F561" s="56"/>
    </row>
    <row r="562">
      <c r="F562" s="56"/>
    </row>
    <row r="563">
      <c r="F563" s="56"/>
    </row>
    <row r="564">
      <c r="F564" s="56"/>
    </row>
    <row r="565">
      <c r="F565" s="56"/>
    </row>
    <row r="566">
      <c r="F566" s="56"/>
    </row>
    <row r="567">
      <c r="F567" s="56"/>
    </row>
    <row r="568">
      <c r="F568" s="56"/>
    </row>
    <row r="569">
      <c r="F569" s="56"/>
    </row>
    <row r="570">
      <c r="F570" s="56"/>
    </row>
    <row r="571">
      <c r="F571" s="56"/>
    </row>
    <row r="572">
      <c r="F572" s="56"/>
    </row>
    <row r="573">
      <c r="F573" s="56"/>
    </row>
    <row r="574">
      <c r="F574" s="56"/>
    </row>
    <row r="575">
      <c r="F575" s="56"/>
    </row>
    <row r="576">
      <c r="F576" s="56"/>
    </row>
    <row r="577">
      <c r="F577" s="56"/>
    </row>
    <row r="578">
      <c r="F578" s="56"/>
    </row>
    <row r="579">
      <c r="F579" s="56"/>
    </row>
    <row r="580">
      <c r="F580" s="56"/>
    </row>
    <row r="581">
      <c r="F581" s="56"/>
    </row>
    <row r="582">
      <c r="F582" s="56"/>
    </row>
    <row r="583">
      <c r="F583" s="56"/>
    </row>
    <row r="584">
      <c r="F584" s="56"/>
    </row>
    <row r="585">
      <c r="F585" s="56"/>
    </row>
    <row r="586">
      <c r="F586" s="56"/>
    </row>
    <row r="587">
      <c r="F587" s="56"/>
    </row>
    <row r="588">
      <c r="F588" s="56"/>
    </row>
    <row r="589">
      <c r="F589" s="56"/>
    </row>
    <row r="590">
      <c r="F590" s="56"/>
    </row>
    <row r="591">
      <c r="F591" s="56"/>
    </row>
    <row r="592">
      <c r="F592" s="56"/>
    </row>
    <row r="593">
      <c r="F593" s="56"/>
    </row>
    <row r="594">
      <c r="F594" s="56"/>
    </row>
    <row r="595">
      <c r="F595" s="56"/>
    </row>
    <row r="596">
      <c r="F596" s="56"/>
    </row>
    <row r="597">
      <c r="F597" s="56"/>
    </row>
    <row r="598">
      <c r="F598" s="56"/>
    </row>
    <row r="599">
      <c r="F599" s="56"/>
    </row>
    <row r="600">
      <c r="F600" s="56"/>
    </row>
    <row r="601">
      <c r="F601" s="56"/>
    </row>
    <row r="602">
      <c r="F602" s="56"/>
    </row>
    <row r="603">
      <c r="F603" s="56"/>
    </row>
    <row r="604">
      <c r="F604" s="56"/>
    </row>
    <row r="605">
      <c r="F605" s="56"/>
    </row>
    <row r="606">
      <c r="F606" s="56"/>
    </row>
    <row r="607">
      <c r="F607" s="56"/>
    </row>
    <row r="608">
      <c r="F608" s="56"/>
    </row>
    <row r="609">
      <c r="F609" s="56"/>
    </row>
    <row r="610">
      <c r="F610" s="56"/>
    </row>
    <row r="611">
      <c r="F611" s="56"/>
    </row>
    <row r="612">
      <c r="F612" s="56"/>
    </row>
    <row r="613">
      <c r="F613" s="56"/>
    </row>
    <row r="614">
      <c r="F614" s="56"/>
    </row>
    <row r="615">
      <c r="F615" s="56"/>
    </row>
    <row r="616">
      <c r="F616" s="56"/>
    </row>
    <row r="617">
      <c r="F617" s="56"/>
    </row>
    <row r="618">
      <c r="F618" s="56"/>
    </row>
    <row r="619">
      <c r="F619" s="56"/>
    </row>
    <row r="620">
      <c r="F620" s="56"/>
    </row>
    <row r="621">
      <c r="F621" s="56"/>
    </row>
    <row r="622">
      <c r="F622" s="56"/>
    </row>
    <row r="623">
      <c r="F623" s="56"/>
    </row>
    <row r="624">
      <c r="F624" s="56"/>
    </row>
    <row r="625">
      <c r="F625" s="56"/>
    </row>
    <row r="626">
      <c r="F626" s="56"/>
    </row>
    <row r="627">
      <c r="F627" s="56"/>
    </row>
    <row r="628">
      <c r="F628" s="56"/>
    </row>
    <row r="629">
      <c r="F629" s="56"/>
    </row>
    <row r="630">
      <c r="F630" s="56"/>
    </row>
    <row r="631">
      <c r="F631" s="56"/>
    </row>
    <row r="632">
      <c r="F632" s="56"/>
    </row>
    <row r="633">
      <c r="F633" s="56"/>
    </row>
    <row r="634">
      <c r="F634" s="56"/>
    </row>
    <row r="635">
      <c r="F635" s="56"/>
    </row>
    <row r="636">
      <c r="F636" s="56"/>
    </row>
    <row r="637">
      <c r="F637" s="56"/>
    </row>
    <row r="638">
      <c r="F638" s="56"/>
    </row>
    <row r="639">
      <c r="F639" s="56"/>
    </row>
    <row r="640">
      <c r="F640" s="56"/>
    </row>
    <row r="641">
      <c r="F641" s="56"/>
    </row>
    <row r="642">
      <c r="F642" s="56"/>
    </row>
    <row r="643">
      <c r="F643" s="56"/>
    </row>
    <row r="644">
      <c r="F644" s="56"/>
    </row>
    <row r="645">
      <c r="F645" s="56"/>
    </row>
    <row r="646">
      <c r="F646" s="56"/>
    </row>
    <row r="647">
      <c r="F647" s="56"/>
    </row>
    <row r="648">
      <c r="F648" s="56"/>
    </row>
    <row r="649">
      <c r="F649" s="56"/>
    </row>
    <row r="650">
      <c r="F650" s="56"/>
    </row>
    <row r="651">
      <c r="F651" s="56"/>
    </row>
    <row r="652">
      <c r="F652" s="56"/>
    </row>
    <row r="653">
      <c r="F653" s="56"/>
    </row>
    <row r="654">
      <c r="F654" s="56"/>
    </row>
    <row r="655">
      <c r="F655" s="56"/>
    </row>
    <row r="656">
      <c r="F656" s="56"/>
    </row>
    <row r="657">
      <c r="F657" s="56"/>
    </row>
    <row r="658">
      <c r="F658" s="56"/>
    </row>
    <row r="659">
      <c r="F659" s="56"/>
    </row>
    <row r="660">
      <c r="F660" s="56"/>
    </row>
    <row r="661">
      <c r="F661" s="56"/>
    </row>
    <row r="662">
      <c r="F662" s="56"/>
    </row>
    <row r="663">
      <c r="F663" s="56"/>
    </row>
    <row r="664">
      <c r="F664" s="56"/>
    </row>
    <row r="665">
      <c r="F665" s="56"/>
    </row>
    <row r="666">
      <c r="F666" s="56"/>
    </row>
    <row r="667">
      <c r="F667" s="56"/>
    </row>
    <row r="668">
      <c r="F668" s="56"/>
    </row>
    <row r="669">
      <c r="F669" s="56"/>
    </row>
    <row r="670">
      <c r="F670" s="56"/>
    </row>
    <row r="671">
      <c r="F671" s="56"/>
    </row>
    <row r="672">
      <c r="F672" s="56"/>
    </row>
    <row r="673">
      <c r="F673" s="56"/>
    </row>
    <row r="674">
      <c r="F674" s="56"/>
    </row>
    <row r="675">
      <c r="F675" s="56"/>
    </row>
    <row r="676">
      <c r="F676" s="56"/>
    </row>
    <row r="677">
      <c r="F677" s="56"/>
    </row>
    <row r="678">
      <c r="F678" s="56"/>
    </row>
    <row r="679">
      <c r="F679" s="56"/>
    </row>
    <row r="680">
      <c r="F680" s="56"/>
    </row>
    <row r="681">
      <c r="F681" s="56"/>
    </row>
    <row r="682">
      <c r="F682" s="56"/>
    </row>
    <row r="683">
      <c r="F683" s="56"/>
    </row>
    <row r="684">
      <c r="F684" s="56"/>
    </row>
    <row r="685">
      <c r="F685" s="56"/>
    </row>
    <row r="686">
      <c r="F686" s="56"/>
    </row>
    <row r="687">
      <c r="F687" s="56"/>
    </row>
    <row r="688">
      <c r="F688" s="56"/>
    </row>
    <row r="689">
      <c r="F689" s="56"/>
    </row>
    <row r="690">
      <c r="F690" s="56"/>
    </row>
    <row r="691">
      <c r="F691" s="56"/>
    </row>
    <row r="692">
      <c r="F692" s="56"/>
    </row>
    <row r="693">
      <c r="F693" s="56"/>
    </row>
    <row r="694">
      <c r="F694" s="56"/>
    </row>
    <row r="695">
      <c r="F695" s="56"/>
    </row>
    <row r="696">
      <c r="F696" s="56"/>
    </row>
    <row r="697">
      <c r="F697" s="56"/>
    </row>
    <row r="698">
      <c r="F698" s="56"/>
    </row>
    <row r="699">
      <c r="F699" s="56"/>
    </row>
    <row r="700">
      <c r="F700" s="56"/>
    </row>
    <row r="701">
      <c r="F701" s="56"/>
    </row>
    <row r="702">
      <c r="F702" s="56"/>
    </row>
    <row r="703">
      <c r="F703" s="56"/>
    </row>
    <row r="704">
      <c r="F704" s="56"/>
    </row>
    <row r="705">
      <c r="F705" s="56"/>
    </row>
    <row r="706">
      <c r="F706" s="56"/>
    </row>
    <row r="707">
      <c r="F707" s="56"/>
    </row>
    <row r="708">
      <c r="F708" s="56"/>
    </row>
    <row r="709">
      <c r="F709" s="56"/>
    </row>
    <row r="710">
      <c r="F710" s="56"/>
    </row>
    <row r="711">
      <c r="F711" s="56"/>
    </row>
    <row r="712">
      <c r="F712" s="56"/>
    </row>
    <row r="713">
      <c r="F713" s="56"/>
    </row>
    <row r="714">
      <c r="F714" s="56"/>
    </row>
    <row r="715">
      <c r="F715" s="56"/>
    </row>
    <row r="716">
      <c r="F716" s="56"/>
    </row>
    <row r="717">
      <c r="F717" s="56"/>
    </row>
    <row r="718">
      <c r="F718" s="56"/>
    </row>
    <row r="719">
      <c r="F719" s="56"/>
    </row>
    <row r="720">
      <c r="F720" s="56"/>
    </row>
    <row r="721">
      <c r="F721" s="56"/>
    </row>
    <row r="722">
      <c r="F722" s="56"/>
    </row>
    <row r="723">
      <c r="F723" s="56"/>
    </row>
    <row r="724">
      <c r="F724" s="56"/>
    </row>
    <row r="725">
      <c r="F725" s="56"/>
    </row>
    <row r="726">
      <c r="F726" s="56"/>
    </row>
    <row r="727">
      <c r="F727" s="56"/>
    </row>
    <row r="728">
      <c r="F728" s="56"/>
    </row>
    <row r="729">
      <c r="F729" s="56"/>
    </row>
    <row r="730">
      <c r="F730" s="56"/>
    </row>
    <row r="731">
      <c r="F731" s="56"/>
    </row>
    <row r="732">
      <c r="F732" s="56"/>
    </row>
    <row r="733">
      <c r="F733" s="56"/>
    </row>
    <row r="734">
      <c r="F734" s="56"/>
    </row>
    <row r="735">
      <c r="F735" s="56"/>
    </row>
    <row r="736">
      <c r="F736" s="56"/>
    </row>
    <row r="737">
      <c r="F737" s="56"/>
    </row>
    <row r="738">
      <c r="F738" s="56"/>
    </row>
    <row r="739">
      <c r="F739" s="56"/>
    </row>
    <row r="740">
      <c r="F740" s="56"/>
    </row>
    <row r="741">
      <c r="F741" s="56"/>
    </row>
    <row r="742">
      <c r="F742" s="56"/>
    </row>
    <row r="743">
      <c r="F743" s="56"/>
    </row>
    <row r="744">
      <c r="F744" s="56"/>
    </row>
    <row r="745">
      <c r="F745" s="56"/>
    </row>
    <row r="746">
      <c r="F746" s="56"/>
    </row>
    <row r="747">
      <c r="F747" s="56"/>
    </row>
    <row r="748">
      <c r="F748" s="56"/>
    </row>
    <row r="749">
      <c r="F749" s="56"/>
    </row>
    <row r="750">
      <c r="F750" s="56"/>
    </row>
    <row r="751">
      <c r="F751" s="56"/>
    </row>
    <row r="752">
      <c r="F752" s="56"/>
    </row>
    <row r="753">
      <c r="F753" s="56"/>
    </row>
    <row r="754">
      <c r="F754" s="56"/>
    </row>
    <row r="755">
      <c r="F755" s="56"/>
    </row>
    <row r="756">
      <c r="F756" s="56"/>
    </row>
    <row r="757">
      <c r="F757" s="56"/>
    </row>
    <row r="758">
      <c r="F758" s="56"/>
    </row>
    <row r="759">
      <c r="F759" s="56"/>
    </row>
    <row r="760">
      <c r="F760" s="56"/>
    </row>
    <row r="761">
      <c r="F761" s="56"/>
    </row>
    <row r="762">
      <c r="F762" s="56"/>
    </row>
    <row r="763">
      <c r="F763" s="56"/>
    </row>
    <row r="764">
      <c r="F764" s="56"/>
    </row>
    <row r="765">
      <c r="F765" s="56"/>
    </row>
    <row r="766">
      <c r="F766" s="56"/>
    </row>
    <row r="767">
      <c r="F767" s="56"/>
    </row>
    <row r="768">
      <c r="F768" s="56"/>
    </row>
    <row r="769">
      <c r="F769" s="56"/>
    </row>
    <row r="770">
      <c r="F770" s="56"/>
    </row>
    <row r="771">
      <c r="F771" s="56"/>
    </row>
    <row r="772">
      <c r="F772" s="56"/>
    </row>
    <row r="773">
      <c r="F773" s="56"/>
    </row>
    <row r="774">
      <c r="F774" s="56"/>
    </row>
    <row r="775">
      <c r="F775" s="56"/>
    </row>
    <row r="776">
      <c r="F776" s="56"/>
    </row>
    <row r="777">
      <c r="F777" s="56"/>
    </row>
    <row r="778">
      <c r="F778" s="56"/>
    </row>
    <row r="779">
      <c r="F779" s="56"/>
    </row>
    <row r="780">
      <c r="F780" s="56"/>
    </row>
    <row r="781">
      <c r="F781" s="56"/>
    </row>
    <row r="782">
      <c r="F782" s="56"/>
    </row>
    <row r="783">
      <c r="F783" s="56"/>
    </row>
    <row r="784">
      <c r="F784" s="56"/>
    </row>
    <row r="785">
      <c r="F785" s="56"/>
    </row>
    <row r="786">
      <c r="F786" s="56"/>
    </row>
    <row r="787">
      <c r="F787" s="56"/>
    </row>
    <row r="788">
      <c r="F788" s="56"/>
    </row>
    <row r="789">
      <c r="F789" s="56"/>
    </row>
    <row r="790">
      <c r="F790" s="56"/>
    </row>
    <row r="791">
      <c r="F791" s="56"/>
    </row>
    <row r="792">
      <c r="F792" s="56"/>
    </row>
    <row r="793">
      <c r="F793" s="56"/>
    </row>
    <row r="794">
      <c r="F794" s="56"/>
    </row>
    <row r="795">
      <c r="F795" s="56"/>
    </row>
    <row r="796">
      <c r="F796" s="56"/>
    </row>
    <row r="797">
      <c r="F797" s="56"/>
    </row>
    <row r="798">
      <c r="F798" s="56"/>
    </row>
    <row r="799">
      <c r="F799" s="56"/>
    </row>
    <row r="800">
      <c r="F800" s="56"/>
    </row>
    <row r="801">
      <c r="F801" s="56"/>
    </row>
    <row r="802">
      <c r="F802" s="56"/>
    </row>
    <row r="803">
      <c r="F803" s="56"/>
    </row>
    <row r="804">
      <c r="F804" s="56"/>
    </row>
    <row r="805">
      <c r="F805" s="56"/>
    </row>
    <row r="806">
      <c r="F806" s="56"/>
    </row>
    <row r="807">
      <c r="F807" s="56"/>
    </row>
    <row r="808">
      <c r="F808" s="56"/>
    </row>
    <row r="809">
      <c r="F809" s="56"/>
    </row>
    <row r="810">
      <c r="F810" s="56"/>
    </row>
    <row r="811">
      <c r="F811" s="56"/>
    </row>
    <row r="812">
      <c r="F812" s="56"/>
    </row>
    <row r="813">
      <c r="F813" s="56"/>
    </row>
    <row r="814">
      <c r="F814" s="56"/>
    </row>
    <row r="815">
      <c r="F815" s="56"/>
    </row>
    <row r="816">
      <c r="F816" s="56"/>
    </row>
    <row r="817">
      <c r="F817" s="56"/>
    </row>
    <row r="818">
      <c r="F818" s="56"/>
    </row>
    <row r="819">
      <c r="F819" s="56"/>
    </row>
    <row r="820">
      <c r="F820" s="56"/>
    </row>
    <row r="821">
      <c r="F821" s="56"/>
    </row>
    <row r="822">
      <c r="F822" s="56"/>
    </row>
    <row r="823">
      <c r="F823" s="56"/>
    </row>
    <row r="824">
      <c r="F824" s="56"/>
    </row>
    <row r="825">
      <c r="F825" s="56"/>
    </row>
    <row r="826">
      <c r="F826" s="56"/>
    </row>
    <row r="827">
      <c r="F827" s="56"/>
    </row>
    <row r="828">
      <c r="F828" s="56"/>
    </row>
    <row r="829">
      <c r="F829" s="56"/>
    </row>
    <row r="830">
      <c r="F830" s="56"/>
    </row>
    <row r="831">
      <c r="F831" s="56"/>
    </row>
    <row r="832">
      <c r="F832" s="56"/>
    </row>
    <row r="833">
      <c r="F833" s="56"/>
    </row>
    <row r="834">
      <c r="F834" s="56"/>
    </row>
    <row r="835">
      <c r="F835" s="56"/>
    </row>
    <row r="836">
      <c r="F836" s="56"/>
    </row>
    <row r="837">
      <c r="F837" s="56"/>
    </row>
    <row r="838">
      <c r="F838" s="56"/>
    </row>
    <row r="839">
      <c r="F839" s="56"/>
    </row>
    <row r="840">
      <c r="F840" s="56"/>
    </row>
    <row r="841">
      <c r="F841" s="56"/>
    </row>
    <row r="842">
      <c r="F842" s="56"/>
    </row>
    <row r="843">
      <c r="F843" s="56"/>
    </row>
    <row r="844">
      <c r="F844" s="56"/>
    </row>
    <row r="845">
      <c r="F845" s="56"/>
    </row>
    <row r="846">
      <c r="F846" s="56"/>
    </row>
    <row r="847">
      <c r="F847" s="56"/>
    </row>
    <row r="848">
      <c r="F848" s="56"/>
    </row>
    <row r="849">
      <c r="F849" s="56"/>
    </row>
    <row r="850">
      <c r="F850" s="56"/>
    </row>
    <row r="851">
      <c r="F851" s="56"/>
    </row>
    <row r="852">
      <c r="F852" s="56"/>
    </row>
    <row r="853">
      <c r="F853" s="56"/>
    </row>
    <row r="854">
      <c r="F854" s="56"/>
    </row>
    <row r="855">
      <c r="F855" s="56"/>
    </row>
    <row r="856">
      <c r="F856" s="56"/>
    </row>
    <row r="857">
      <c r="F857" s="56"/>
    </row>
    <row r="858">
      <c r="F858" s="56"/>
    </row>
    <row r="859">
      <c r="F859" s="56"/>
    </row>
    <row r="860">
      <c r="F860" s="56"/>
    </row>
    <row r="861">
      <c r="F861" s="56"/>
    </row>
    <row r="862">
      <c r="F862" s="56"/>
    </row>
    <row r="863">
      <c r="F863" s="56"/>
    </row>
    <row r="864">
      <c r="F864" s="56"/>
    </row>
    <row r="865">
      <c r="F865" s="56"/>
    </row>
    <row r="866">
      <c r="F866" s="56"/>
    </row>
    <row r="867">
      <c r="F867" s="56"/>
    </row>
    <row r="868">
      <c r="F868" s="56"/>
    </row>
    <row r="869">
      <c r="F869" s="56"/>
    </row>
    <row r="870">
      <c r="F870" s="56"/>
    </row>
    <row r="871">
      <c r="F871" s="56"/>
    </row>
    <row r="872">
      <c r="F872" s="56"/>
    </row>
    <row r="873">
      <c r="F873" s="56"/>
    </row>
    <row r="874">
      <c r="F874" s="56"/>
    </row>
    <row r="875">
      <c r="F875" s="56"/>
    </row>
    <row r="876">
      <c r="F876" s="56"/>
    </row>
    <row r="877">
      <c r="F877" s="56"/>
    </row>
    <row r="878">
      <c r="F878" s="56"/>
    </row>
    <row r="879">
      <c r="F879" s="56"/>
    </row>
    <row r="880">
      <c r="F880" s="56"/>
    </row>
    <row r="881">
      <c r="F881" s="56"/>
    </row>
    <row r="882">
      <c r="F882" s="56"/>
    </row>
    <row r="883">
      <c r="F883" s="56"/>
    </row>
    <row r="884">
      <c r="F884" s="56"/>
    </row>
    <row r="885">
      <c r="F885" s="56"/>
    </row>
    <row r="886">
      <c r="F886" s="56"/>
    </row>
    <row r="887">
      <c r="F887" s="56"/>
    </row>
    <row r="888">
      <c r="F888" s="56"/>
    </row>
    <row r="889">
      <c r="F889" s="56"/>
    </row>
    <row r="890">
      <c r="F890" s="56"/>
    </row>
    <row r="891">
      <c r="F891" s="56"/>
    </row>
    <row r="892">
      <c r="F892" s="56"/>
    </row>
    <row r="893">
      <c r="F893" s="56"/>
    </row>
    <row r="894">
      <c r="F894" s="56"/>
    </row>
    <row r="895">
      <c r="F895" s="56"/>
    </row>
    <row r="896">
      <c r="F896" s="56"/>
    </row>
    <row r="897">
      <c r="F897" s="56"/>
    </row>
    <row r="898">
      <c r="F898" s="56"/>
    </row>
    <row r="899">
      <c r="F899" s="56"/>
    </row>
    <row r="900">
      <c r="F900" s="56"/>
    </row>
    <row r="901">
      <c r="F901" s="56"/>
    </row>
    <row r="902">
      <c r="F902" s="56"/>
    </row>
    <row r="903">
      <c r="F903" s="56"/>
    </row>
    <row r="904">
      <c r="F904" s="56"/>
    </row>
    <row r="905">
      <c r="F905" s="56"/>
    </row>
    <row r="906">
      <c r="F906" s="56"/>
    </row>
    <row r="907">
      <c r="F907" s="56"/>
    </row>
    <row r="908">
      <c r="F908" s="56"/>
    </row>
    <row r="909">
      <c r="F909" s="56"/>
    </row>
    <row r="910">
      <c r="F910" s="56"/>
    </row>
    <row r="911">
      <c r="F911" s="56"/>
    </row>
    <row r="912">
      <c r="F912" s="56"/>
    </row>
    <row r="913">
      <c r="F913" s="56"/>
    </row>
    <row r="914">
      <c r="F914" s="56"/>
    </row>
    <row r="915">
      <c r="F915" s="56"/>
    </row>
    <row r="916">
      <c r="F916" s="56"/>
    </row>
    <row r="917">
      <c r="F917" s="56"/>
    </row>
    <row r="918">
      <c r="F918" s="56"/>
    </row>
    <row r="919">
      <c r="F919" s="56"/>
    </row>
    <row r="920">
      <c r="F920" s="56"/>
    </row>
    <row r="921">
      <c r="F921" s="56"/>
    </row>
    <row r="922">
      <c r="F922" s="56"/>
    </row>
    <row r="923">
      <c r="F923" s="56"/>
    </row>
    <row r="924">
      <c r="F924" s="56"/>
    </row>
    <row r="925">
      <c r="F925" s="56"/>
    </row>
    <row r="926">
      <c r="F926" s="56"/>
    </row>
    <row r="927">
      <c r="F927" s="56"/>
    </row>
    <row r="928">
      <c r="F928" s="56"/>
    </row>
    <row r="929">
      <c r="F929" s="56"/>
    </row>
    <row r="930">
      <c r="F930" s="56"/>
    </row>
    <row r="931">
      <c r="F931" s="56"/>
    </row>
    <row r="932">
      <c r="F932" s="56"/>
    </row>
    <row r="933">
      <c r="F933" s="56"/>
    </row>
    <row r="934">
      <c r="F934" s="56"/>
    </row>
    <row r="935">
      <c r="F935" s="56"/>
    </row>
    <row r="936">
      <c r="F936" s="56"/>
    </row>
    <row r="937">
      <c r="F937" s="56"/>
    </row>
    <row r="938">
      <c r="F938" s="56"/>
    </row>
    <row r="939">
      <c r="F939" s="56"/>
    </row>
    <row r="940">
      <c r="F940" s="56"/>
    </row>
    <row r="941">
      <c r="F941" s="56"/>
    </row>
    <row r="942">
      <c r="F942" s="56"/>
    </row>
    <row r="943">
      <c r="F943" s="56"/>
    </row>
    <row r="944">
      <c r="F944" s="56"/>
    </row>
    <row r="945">
      <c r="F945" s="56"/>
    </row>
    <row r="946">
      <c r="F946" s="56"/>
    </row>
    <row r="947">
      <c r="F947" s="56"/>
    </row>
    <row r="948">
      <c r="F948" s="56"/>
    </row>
    <row r="949">
      <c r="F949" s="56"/>
    </row>
    <row r="950">
      <c r="F950" s="56"/>
    </row>
    <row r="951">
      <c r="F951" s="56"/>
    </row>
    <row r="952">
      <c r="F952" s="56"/>
    </row>
    <row r="953">
      <c r="F953" s="56"/>
    </row>
    <row r="954">
      <c r="F954" s="56"/>
    </row>
    <row r="955">
      <c r="F955" s="56"/>
    </row>
    <row r="956">
      <c r="F956" s="56"/>
    </row>
    <row r="957">
      <c r="F957" s="56"/>
    </row>
    <row r="958">
      <c r="F958" s="56"/>
    </row>
    <row r="959">
      <c r="F959" s="56"/>
    </row>
    <row r="960">
      <c r="F960" s="56"/>
    </row>
    <row r="961">
      <c r="F961" s="56"/>
    </row>
    <row r="962">
      <c r="F962" s="56"/>
    </row>
    <row r="963">
      <c r="F963" s="56"/>
    </row>
    <row r="964">
      <c r="F964" s="56"/>
    </row>
    <row r="965">
      <c r="F965" s="56"/>
    </row>
    <row r="966">
      <c r="F966" s="56"/>
    </row>
    <row r="967">
      <c r="F967" s="56"/>
    </row>
    <row r="968">
      <c r="F968" s="56"/>
    </row>
    <row r="969">
      <c r="F969" s="56"/>
    </row>
    <row r="970">
      <c r="F970" s="56"/>
    </row>
    <row r="971">
      <c r="F971" s="56"/>
    </row>
    <row r="972">
      <c r="F972" s="56"/>
    </row>
    <row r="973">
      <c r="F973" s="56"/>
    </row>
    <row r="974">
      <c r="F974" s="56"/>
    </row>
    <row r="975">
      <c r="F975" s="56"/>
    </row>
    <row r="976">
      <c r="F976" s="56"/>
    </row>
    <row r="977">
      <c r="F977" s="56"/>
    </row>
    <row r="978">
      <c r="F978" s="56"/>
    </row>
    <row r="979">
      <c r="F979" s="56"/>
    </row>
    <row r="980">
      <c r="F980" s="56"/>
    </row>
    <row r="981">
      <c r="F981" s="56"/>
    </row>
    <row r="982">
      <c r="F982" s="56"/>
    </row>
    <row r="983">
      <c r="F983" s="56"/>
    </row>
    <row r="984">
      <c r="F984" s="56"/>
    </row>
    <row r="985">
      <c r="F985" s="56"/>
    </row>
    <row r="986">
      <c r="F986" s="56"/>
    </row>
    <row r="987">
      <c r="F987" s="56"/>
    </row>
    <row r="988">
      <c r="F988" s="56"/>
    </row>
    <row r="989">
      <c r="F989" s="56"/>
    </row>
    <row r="990">
      <c r="F990" s="56"/>
    </row>
    <row r="991">
      <c r="F991" s="56"/>
    </row>
    <row r="992">
      <c r="F992" s="56"/>
    </row>
    <row r="993">
      <c r="F993" s="56"/>
    </row>
    <row r="994">
      <c r="F994" s="56"/>
    </row>
    <row r="995">
      <c r="F995" s="56"/>
    </row>
    <row r="996">
      <c r="F996" s="56"/>
    </row>
    <row r="997">
      <c r="F997" s="56"/>
    </row>
    <row r="998">
      <c r="F998" s="56"/>
    </row>
    <row r="999">
      <c r="F999" s="56"/>
    </row>
    <row r="1000">
      <c r="F1000" s="56"/>
    </row>
  </sheetData>
  <mergeCells count="2">
    <mergeCell ref="A2:H3"/>
    <mergeCell ref="B6:H6"/>
  </mergeCells>
  <dataValidations>
    <dataValidation type="list" allowBlank="1" showErrorMessage="1" sqref="F8:F1000">
      <formula1>"Pass,Fail,Pending"</formula1>
    </dataValidation>
  </dataValidations>
  <drawing r:id="rId1"/>
</worksheet>
</file>